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mc:AlternateContent xmlns:mc="http://schemas.openxmlformats.org/markup-compatibility/2006">
    <mc:Choice Requires="x15">
      <x15ac:absPath xmlns:x15ac="http://schemas.microsoft.com/office/spreadsheetml/2010/11/ac" url="F:\@laPatisserie\OneDrive\"/>
    </mc:Choice>
  </mc:AlternateContent>
  <xr:revisionPtr revIDLastSave="0" documentId="8_{3480140D-43AE-F643-95B4-7EED5201A4DD}" xr6:coauthVersionLast="47" xr6:coauthVersionMax="47" xr10:uidLastSave="{00000000-0000-0000-0000-000000000000}"/>
  <bookViews>
    <workbookView xWindow="0" yWindow="0" windowWidth="20490" windowHeight="7755" tabRatio="905" activeTab="1" xr2:uid="{00000000-000D-0000-FFFF-FFFF00000000}"/>
  </bookViews>
  <sheets>
    <sheet name="Brownie 14 cm" sheetId="67" r:id="rId1"/>
    <sheet name="Tarta de Coco placa 20x30" sheetId="89" r:id="rId2"/>
    <sheet name="Minifrola-DDL-Coco" sheetId="80" state="hidden" r:id="rId3"/>
    <sheet name="Minifrola-Manzana" sheetId="79" state="hidden" r:id="rId4"/>
    <sheet name="Minifrola-DDL" sheetId="78" state="hidden" r:id="rId5"/>
    <sheet name="Pastafrola Membrillo" sheetId="88" state="hidden" r:id="rId6"/>
    <sheet name="Minifrola-Membrillo" sheetId="77" state="hidden" r:id="rId7"/>
    <sheet name="Pepas" sheetId="66" state="hidden" r:id="rId8"/>
    <sheet name="Crema Bariloche" sheetId="65" state="hidden" r:id="rId9"/>
    <sheet name="Receta Torta Espumita" sheetId="30" state="hidden" r:id="rId10"/>
    <sheet name="Cupcakes Chocolate" sheetId="31" state="hidden" r:id="rId11"/>
    <sheet name="Ganache Isabel Vermal" sheetId="33" state="hidden" r:id="rId12"/>
    <sheet name="Torta Choc Isabel Vermal" sheetId="32" state="hidden" r:id="rId13"/>
    <sheet name="Biscuit Chocolate" sheetId="34" state="hidden" r:id="rId14"/>
    <sheet name="Butter Cream Chocolate" sheetId="39" state="hidden" r:id="rId15"/>
    <sheet name="Brownie Eri" sheetId="64" state="hidden" r:id="rId16"/>
    <sheet name="Alfajores de Chocolate 4 cm NUT" sheetId="72" state="hidden" r:id="rId17"/>
    <sheet name="Alfajores de Nuez 4 cm" sheetId="81" state="hidden" r:id="rId18"/>
    <sheet name="Alfajores de Chocolate 4 cm" sheetId="71" state="hidden" r:id="rId19"/>
    <sheet name="Alfajores de Maicena 4 cm" sheetId="70" state="hidden" r:id="rId20"/>
    <sheet name="Alfajores de Maicena 7 cm" sheetId="63" state="hidden" r:id="rId21"/>
    <sheet name="Alfajores de Chocolate 7 cm" sheetId="62" state="hidden" r:id="rId22"/>
    <sheet name="Masitas Mantecosas de Choco" sheetId="76" state="hidden" r:id="rId23"/>
    <sheet name="Galletas Naranja Manga" sheetId="75" state="hidden" r:id="rId24"/>
    <sheet name="Cookies Ginger Snaps" sheetId="87" state="hidden" r:id="rId25"/>
    <sheet name="Browkies - Cookies doble choco" sheetId="93" state="hidden" r:id="rId26"/>
    <sheet name="Cookies Chip Taller" sheetId="92" state="hidden" r:id="rId27"/>
    <sheet name="Cookies Vainilla con Chips" sheetId="83" state="hidden" r:id="rId28"/>
    <sheet name="Budin de Vainilla" sheetId="86" state="hidden" r:id="rId29"/>
    <sheet name="Budin de Naranja" sheetId="85" state="hidden" r:id="rId30"/>
    <sheet name="Cookies Choco Naranja" sheetId="84" state="hidden" r:id="rId31"/>
    <sheet name="Lista de Precios Clientes" sheetId="73" r:id="rId32"/>
    <sheet name="Frecuentes" sheetId="47" r:id="rId33"/>
    <sheet name="Torta Number" sheetId="57" state="hidden" r:id="rId34"/>
    <sheet name="Torta Butter Cream 15 cm" sheetId="58" state="hidden" r:id="rId35"/>
    <sheet name="Torta Butter Cream 18" sheetId="56" state="hidden" r:id="rId36"/>
    <sheet name="Butter Cream Odra" sheetId="55" state="hidden" r:id="rId37"/>
    <sheet name="Butter Cream Vainilla" sheetId="38" state="hidden" r:id="rId38"/>
    <sheet name="Genoise" sheetId="37" state="hidden" r:id="rId39"/>
    <sheet name="Bundt Chocolate" sheetId="36" state="hidden" r:id="rId40"/>
    <sheet name="Torta Forrada" sheetId="53" state="hidden" r:id="rId41"/>
    <sheet name="Torta Manteca Butter Cream" sheetId="54" state="hidden" r:id="rId42"/>
    <sheet name="Donas de Vainilla" sheetId="51" state="hidden" r:id="rId43"/>
    <sheet name="Donas de Chocolate" sheetId="35" state="hidden" r:id="rId44"/>
    <sheet name="Bundt Naranja" sheetId="40" state="hidden" r:id="rId45"/>
    <sheet name="Budin Cítrico" sheetId="42" state="hidden" r:id="rId46"/>
    <sheet name="Merengue Italiano" sheetId="43" state="hidden" r:id="rId47"/>
    <sheet name="Pastafrola Dulce de Leche" sheetId="45" state="hidden" r:id="rId48"/>
    <sheet name="Cookies Vaini-Chips Rocklets" sheetId="50" state="hidden" r:id="rId49"/>
    <sheet name="Budin de Manzanas" sheetId="48" state="hidden" r:id="rId50"/>
    <sheet name="Precios" sheetId="23" state="hidden" r:id="rId51"/>
    <sheet name="Bombon Nuez con Chocolate" sheetId="61" state="hidden" r:id="rId52"/>
    <sheet name="Cascaritas" sheetId="59" state="hidden" r:id="rId53"/>
    <sheet name="Panes" sheetId="60" state="hidden" r:id="rId54"/>
    <sheet name="Valores y Totales" sheetId="2" r:id="rId55"/>
    <sheet name="Vaso Geng y Limon" sheetId="15" state="hidden" r:id="rId56"/>
    <sheet name="Cremoso de Fruta" sheetId="14" state="hidden" r:id="rId57"/>
    <sheet name="Duo Chocolate" sheetId="13" state="hidden" r:id="rId58"/>
    <sheet name="Budin de Peras" sheetId="24" state="hidden" r:id="rId59"/>
    <sheet name="Budin de Banana" sheetId="12" state="hidden" r:id="rId60"/>
    <sheet name="Ganache" sheetId="25" state="hidden" r:id="rId61"/>
    <sheet name="Cakepops" sheetId="10" state="hidden" r:id="rId62"/>
    <sheet name="Bombones de Chocolate" sheetId="9" state="hidden" r:id="rId63"/>
    <sheet name="TartitasChocolate" sheetId="8" state="hidden" r:id="rId64"/>
    <sheet name="Espumita de Limon" sheetId="7" state="hidden" r:id="rId65"/>
    <sheet name="Budin de Arandanos" sheetId="90" state="hidden" r:id="rId66"/>
    <sheet name="Torta Galesa" sheetId="11" state="hidden" r:id="rId67"/>
    <sheet name="MiniRogel" sheetId="6" state="hidden" r:id="rId68"/>
    <sheet name="Alfajores de Chocolate" sheetId="5" state="hidden" r:id="rId69"/>
    <sheet name="Alfajores de Maicena" sheetId="4" state="hidden" r:id="rId70"/>
    <sheet name="Masitas de Manteca (choc)" sheetId="1" state="hidden" r:id="rId71"/>
    <sheet name="Alfajores de Mani" sheetId="91" state="hidden" r:id="rId72"/>
    <sheet name="Alfajores de Nuez" sheetId="46" state="hidden" r:id="rId73"/>
    <sheet name="Torta Vainilla" sheetId="19" state="hidden" r:id="rId74"/>
    <sheet name="Torta Chocolate Mauricio Asta" sheetId="74" state="hidden" r:id="rId75"/>
    <sheet name="Torta Chocolate" sheetId="18" state="hidden" r:id="rId76"/>
    <sheet name="Cupcakes Limón" sheetId="21" state="hidden" r:id="rId77"/>
    <sheet name="TORTA 3KG 20CM NO GANACHE" sheetId="28" state="hidden" r:id="rId78"/>
    <sheet name="TORTA 3KG 20CM DIAM." sheetId="20" state="hidden" r:id="rId79"/>
    <sheet name="Frosting Bariloche" sheetId="22" state="hidden" r:id="rId80"/>
    <sheet name="Cookies Pasas y Nueces" sheetId="17" state="hidden" r:id="rId81"/>
    <sheet name="Masitas de Manteca" sheetId="44" state="hidden" r:id="rId82"/>
    <sheet name="Caja dia del padre" sheetId="69" state="hidden" r:id="rId83"/>
    <sheet name="Cookies Chocochips" sheetId="16" state="hidden" r:id="rId84"/>
    <sheet name="Brownies" sheetId="3" state="hidden" r:id="rId85"/>
    <sheet name="Crema de Naranja" sheetId="27" state="hidden" r:id="rId86"/>
    <sheet name="Torta Manteca ODRA" sheetId="52" state="hidden" r:id="rId87"/>
  </sheets>
  <definedNames>
    <definedName name="lista" localSheetId="71">_xludf.REPLACE(_xludf.GET.WORKBOOK(1),1,_xludf.FIND("]",_xludf.GET.WORKBOOK(1)),"")</definedName>
    <definedName name="lista" localSheetId="17">_xludf.REPLACE(_xludf.GET.WORKBOOK(1),1,_xludf.FIND("]",_xludf.GET.WORKBOOK(1)),"")</definedName>
    <definedName name="lista" localSheetId="65">_xludf.REPLACE(_xludf.GET.WORKBOOK(1),1,_xludf.FIND("]",_xludf.GET.WORKBOOK(1)),"")</definedName>
    <definedName name="lista" localSheetId="29">_xludf.REPLACE(_xludf.GET.WORKBOOK(1),1,_xludf.FIND("]",_xludf.GET.WORKBOOK(1)),"")</definedName>
    <definedName name="lista" localSheetId="28">_xludf.REPLACE(_xludf.GET.WORKBOOK(1),1,_xludf.FIND("]",_xludf.GET.WORKBOOK(1)),"")</definedName>
    <definedName name="lista" localSheetId="26">_xludf.REPLACE(_xludf.GET.WORKBOOK(1),1,_xludf.FIND("]",_xludf.GET.WORKBOOK(1)),"")</definedName>
    <definedName name="lista" localSheetId="25">_xludf.REPLACE(_xludf.GET.WORKBOOK(1),1,_xludf.FIND("]",_xludf.GET.WORKBOOK(1)),"")</definedName>
    <definedName name="lista" localSheetId="30">_xludf.REPLACE(_xludf.GET.WORKBOOK(1),1,_xludf.FIND("]",_xludf.GET.WORKBOOK(1)),"")</definedName>
    <definedName name="lista" localSheetId="24">_xludf.REPLACE(_xludf.GET.WORKBOOK(1),1,_xludf.FIND("]",_xludf.GET.WORKBOOK(1)),"")</definedName>
    <definedName name="lista" localSheetId="27">_xludf.REPLACE(_xludf.GET.WORKBOOK(1),1,_xludf.FIND("]",_xludf.GET.WORKBOOK(1)),"")</definedName>
    <definedName name="lista" localSheetId="4">_xludf.REPLACE(_xludf.GET.WORKBOOK(1),1,_xludf.FIND("]",_xludf.GET.WORKBOOK(1)),"")</definedName>
    <definedName name="lista" localSheetId="2">_xludf.REPLACE(_xludf.GET.WORKBOOK(1),1,_xludf.FIND("]",_xludf.GET.WORKBOOK(1)),"")</definedName>
    <definedName name="lista" localSheetId="3">_xludf.REPLACE(_xludf.GET.WORKBOOK(1),1,_xludf.FIND("]",_xludf.GET.WORKBOOK(1)),"")</definedName>
    <definedName name="lista" localSheetId="6">_xludf.REPLACE(_xludf.GET.WORKBOOK(1),1,_xludf.FIND("]",_xludf.GET.WORKBOOK(1)),"")</definedName>
    <definedName name="lista" localSheetId="5">_xludf.REPLACE(_xludf.GET.WORKBOOK(1),1,_xludf.FIND("]",_xludf.GET.WORKBOOK(1)),"")</definedName>
    <definedName name="lista" localSheetId="1">_xludf.REPLACE(_xludf.GET.WORKBOOK(1),1,_xludf.FIND("]",_xludf.GET.WORKBOOK(1)),"")</definedName>
    <definedName name="lista">_xludf.REPLACE(_xludf.GET.WORKBOOK(1),1,_xludf.FIND("]",_xludf.GET.WORKBOOK(1)),"")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87" l="1"/>
  <c r="E19" i="47"/>
  <c r="E18" i="47"/>
  <c r="D28" i="93"/>
  <c r="E26" i="93"/>
  <c r="E25" i="93"/>
  <c r="E24" i="93"/>
  <c r="E23" i="93"/>
  <c r="E22" i="93"/>
  <c r="E21" i="93"/>
  <c r="E20" i="93"/>
  <c r="E19" i="93"/>
  <c r="E18" i="93"/>
  <c r="E17" i="93"/>
  <c r="E16" i="93"/>
  <c r="E15" i="93"/>
  <c r="E14" i="93"/>
  <c r="E13" i="93"/>
  <c r="E12" i="93"/>
  <c r="E11" i="93"/>
  <c r="E10" i="93"/>
  <c r="E9" i="93"/>
  <c r="E8" i="93"/>
  <c r="E7" i="93"/>
  <c r="E6" i="93"/>
  <c r="D6" i="93"/>
  <c r="E5" i="93"/>
  <c r="E4" i="93"/>
  <c r="E3" i="93"/>
  <c r="E2" i="93"/>
  <c r="D29" i="92"/>
  <c r="E26" i="92"/>
  <c r="E25" i="92"/>
  <c r="E24" i="92"/>
  <c r="E23" i="92"/>
  <c r="E22" i="92"/>
  <c r="E21" i="92"/>
  <c r="E20" i="92"/>
  <c r="E19" i="92"/>
  <c r="E18" i="92"/>
  <c r="E17" i="92"/>
  <c r="E16" i="92"/>
  <c r="E15" i="92"/>
  <c r="E14" i="92"/>
  <c r="E13" i="92"/>
  <c r="E12" i="92"/>
  <c r="E11" i="92"/>
  <c r="E10" i="92"/>
  <c r="E9" i="92"/>
  <c r="E8" i="92"/>
  <c r="E7" i="92"/>
  <c r="E6" i="92"/>
  <c r="D6" i="92"/>
  <c r="E5" i="92"/>
  <c r="E4" i="92"/>
  <c r="E3" i="92"/>
  <c r="E2" i="92"/>
  <c r="C54" i="2"/>
  <c r="D12" i="91"/>
  <c r="C53" i="2"/>
  <c r="D10" i="91"/>
  <c r="D24" i="91"/>
  <c r="E21" i="91"/>
  <c r="E20" i="91"/>
  <c r="E19" i="91"/>
  <c r="E18" i="91"/>
  <c r="E17" i="91"/>
  <c r="E16" i="91"/>
  <c r="E15" i="91"/>
  <c r="E14" i="91"/>
  <c r="E13" i="91"/>
  <c r="E12" i="91"/>
  <c r="E11" i="91"/>
  <c r="E10" i="91"/>
  <c r="E9" i="91"/>
  <c r="E8" i="91"/>
  <c r="E7" i="91"/>
  <c r="E6" i="91"/>
  <c r="E5" i="91"/>
  <c r="E4" i="91"/>
  <c r="E3" i="91"/>
  <c r="E2" i="91"/>
  <c r="P2" i="2"/>
  <c r="Q2" i="2"/>
  <c r="C50" i="2"/>
  <c r="D27" i="90"/>
  <c r="E27" i="90"/>
  <c r="D31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E7" i="90"/>
  <c r="E6" i="90"/>
  <c r="D6" i="90"/>
  <c r="E5" i="90"/>
  <c r="E4" i="90"/>
  <c r="E3" i="90"/>
  <c r="E2" i="90"/>
  <c r="E22" i="47"/>
  <c r="C41" i="2"/>
  <c r="D26" i="51"/>
  <c r="E47" i="47"/>
  <c r="E27" i="89"/>
  <c r="E26" i="89"/>
  <c r="E25" i="89"/>
  <c r="E24" i="89"/>
  <c r="E23" i="89"/>
  <c r="E22" i="89"/>
  <c r="E21" i="89"/>
  <c r="E20" i="89"/>
  <c r="E19" i="89"/>
  <c r="E18" i="89"/>
  <c r="E17" i="89"/>
  <c r="E16" i="89"/>
  <c r="E15" i="89"/>
  <c r="E14" i="89"/>
  <c r="E13" i="89"/>
  <c r="E12" i="89"/>
  <c r="E11" i="89"/>
  <c r="E10" i="89"/>
  <c r="E9" i="89"/>
  <c r="E8" i="89"/>
  <c r="E7" i="89"/>
  <c r="E6" i="89"/>
  <c r="D6" i="89"/>
  <c r="E5" i="89"/>
  <c r="E4" i="89"/>
  <c r="E3" i="89"/>
  <c r="E2" i="89"/>
  <c r="E33" i="47"/>
  <c r="D30" i="88"/>
  <c r="E27" i="88"/>
  <c r="E26" i="88"/>
  <c r="E25" i="88"/>
  <c r="E24" i="88"/>
  <c r="E23" i="88"/>
  <c r="E22" i="88"/>
  <c r="E21" i="88"/>
  <c r="E20" i="88"/>
  <c r="E19" i="88"/>
  <c r="E18" i="88"/>
  <c r="E17" i="88"/>
  <c r="E16" i="88"/>
  <c r="E15" i="88"/>
  <c r="E14" i="88"/>
  <c r="E13" i="88"/>
  <c r="E12" i="88"/>
  <c r="E11" i="88"/>
  <c r="E10" i="88"/>
  <c r="E9" i="88"/>
  <c r="E8" i="88"/>
  <c r="E7" i="88"/>
  <c r="E6" i="88"/>
  <c r="D6" i="88"/>
  <c r="E5" i="88"/>
  <c r="E4" i="88"/>
  <c r="E3" i="88"/>
  <c r="E2" i="88"/>
  <c r="E28" i="87"/>
  <c r="C52" i="2"/>
  <c r="D28" i="87"/>
  <c r="E27" i="87"/>
  <c r="E26" i="87"/>
  <c r="E25" i="87"/>
  <c r="E24" i="87"/>
  <c r="E23" i="87"/>
  <c r="E22" i="87"/>
  <c r="E21" i="87"/>
  <c r="E20" i="87"/>
  <c r="E19" i="87"/>
  <c r="E18" i="87"/>
  <c r="E17" i="87"/>
  <c r="E16" i="87"/>
  <c r="E15" i="87"/>
  <c r="E14" i="87"/>
  <c r="E13" i="87"/>
  <c r="E12" i="87"/>
  <c r="E11" i="87"/>
  <c r="E10" i="87"/>
  <c r="E9" i="87"/>
  <c r="E8" i="87"/>
  <c r="E7" i="87"/>
  <c r="E6" i="87"/>
  <c r="D6" i="87"/>
  <c r="E5" i="87"/>
  <c r="E4" i="87"/>
  <c r="E3" i="87"/>
  <c r="E2" i="87"/>
  <c r="E27" i="86"/>
  <c r="D29" i="86"/>
  <c r="E26" i="86"/>
  <c r="E25" i="86"/>
  <c r="E24" i="86"/>
  <c r="E23" i="86"/>
  <c r="E22" i="86"/>
  <c r="E21" i="86"/>
  <c r="E20" i="86"/>
  <c r="E19" i="86"/>
  <c r="E18" i="86"/>
  <c r="E17" i="86"/>
  <c r="E16" i="86"/>
  <c r="E15" i="86"/>
  <c r="E14" i="86"/>
  <c r="E13" i="86"/>
  <c r="E12" i="86"/>
  <c r="K11" i="86"/>
  <c r="E11" i="86"/>
  <c r="E10" i="86"/>
  <c r="E9" i="86"/>
  <c r="E8" i="86"/>
  <c r="E7" i="86"/>
  <c r="I6" i="86"/>
  <c r="E6" i="86"/>
  <c r="D6" i="86"/>
  <c r="E5" i="86"/>
  <c r="I4" i="86"/>
  <c r="E4" i="86"/>
  <c r="E3" i="86"/>
  <c r="E2" i="86"/>
  <c r="D29" i="85"/>
  <c r="E26" i="85"/>
  <c r="E25" i="85"/>
  <c r="E24" i="85"/>
  <c r="E23" i="85"/>
  <c r="E22" i="85"/>
  <c r="E21" i="85"/>
  <c r="E20" i="85"/>
  <c r="E19" i="85"/>
  <c r="E18" i="85"/>
  <c r="E17" i="85"/>
  <c r="E16" i="85"/>
  <c r="E15" i="85"/>
  <c r="E14" i="85"/>
  <c r="E13" i="85"/>
  <c r="E12" i="85"/>
  <c r="K11" i="85"/>
  <c r="E11" i="85"/>
  <c r="E10" i="85"/>
  <c r="E9" i="85"/>
  <c r="E8" i="85"/>
  <c r="E7" i="85"/>
  <c r="I6" i="85"/>
  <c r="E6" i="85"/>
  <c r="D6" i="85"/>
  <c r="E5" i="85"/>
  <c r="I4" i="85"/>
  <c r="E4" i="85"/>
  <c r="E3" i="85"/>
  <c r="E2" i="85"/>
  <c r="C51" i="2"/>
  <c r="D28" i="84"/>
  <c r="E28" i="84"/>
  <c r="D30" i="84"/>
  <c r="E27" i="84"/>
  <c r="E26" i="84"/>
  <c r="E25" i="84"/>
  <c r="E24" i="84"/>
  <c r="E23" i="84"/>
  <c r="E22" i="84"/>
  <c r="E21" i="84"/>
  <c r="E20" i="84"/>
  <c r="E19" i="84"/>
  <c r="E18" i="84"/>
  <c r="E17" i="84"/>
  <c r="E16" i="84"/>
  <c r="E15" i="84"/>
  <c r="E14" i="84"/>
  <c r="E13" i="84"/>
  <c r="E12" i="84"/>
  <c r="E11" i="84"/>
  <c r="E10" i="84"/>
  <c r="E9" i="84"/>
  <c r="E8" i="84"/>
  <c r="E7" i="84"/>
  <c r="E6" i="84"/>
  <c r="D6" i="84"/>
  <c r="E5" i="84"/>
  <c r="E4" i="84"/>
  <c r="E3" i="84"/>
  <c r="E2" i="84"/>
  <c r="D29" i="83"/>
  <c r="E27" i="83"/>
  <c r="E26" i="83"/>
  <c r="E25" i="83"/>
  <c r="E24" i="83"/>
  <c r="E23" i="83"/>
  <c r="E22" i="83"/>
  <c r="E21" i="83"/>
  <c r="E20" i="83"/>
  <c r="E19" i="83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D6" i="83"/>
  <c r="E5" i="83"/>
  <c r="E4" i="83"/>
  <c r="E3" i="83"/>
  <c r="E2" i="83"/>
  <c r="C48" i="2"/>
  <c r="D48" i="2"/>
  <c r="C2" i="2"/>
  <c r="C3" i="2"/>
  <c r="C4" i="2"/>
  <c r="D4" i="3"/>
  <c r="C5" i="2"/>
  <c r="D6" i="3"/>
  <c r="C7" i="2"/>
  <c r="D7" i="3"/>
  <c r="C8" i="2"/>
  <c r="D8" i="3"/>
  <c r="C9" i="2"/>
  <c r="D9" i="3"/>
  <c r="C10" i="2"/>
  <c r="D10" i="39"/>
  <c r="C11" i="2"/>
  <c r="C12" i="2"/>
  <c r="D12" i="3"/>
  <c r="C13" i="2"/>
  <c r="C14" i="2"/>
  <c r="D14" i="3"/>
  <c r="C15" i="2"/>
  <c r="D15" i="3"/>
  <c r="C16" i="2"/>
  <c r="D16" i="3"/>
  <c r="C17" i="2"/>
  <c r="C18" i="2"/>
  <c r="D18" i="3"/>
  <c r="C19" i="2"/>
  <c r="C20" i="2"/>
  <c r="D20" i="3"/>
  <c r="C21" i="2"/>
  <c r="C22" i="2"/>
  <c r="D22" i="3"/>
  <c r="C23" i="2"/>
  <c r="D23" i="3"/>
  <c r="C24" i="2"/>
  <c r="D24" i="3"/>
  <c r="C25" i="2"/>
  <c r="D25" i="3"/>
  <c r="C26" i="2"/>
  <c r="D26" i="3"/>
  <c r="D2" i="81"/>
  <c r="D4" i="81"/>
  <c r="C6" i="2"/>
  <c r="D6" i="91"/>
  <c r="D6" i="81"/>
  <c r="D7" i="81"/>
  <c r="D8" i="81"/>
  <c r="D9" i="80"/>
  <c r="D2" i="80"/>
  <c r="D4" i="80"/>
  <c r="D6" i="80"/>
  <c r="D7" i="80"/>
  <c r="D8" i="80"/>
  <c r="D12" i="80"/>
  <c r="D14" i="80"/>
  <c r="D15" i="80"/>
  <c r="D16" i="80"/>
  <c r="D18" i="80"/>
  <c r="D20" i="80"/>
  <c r="D22" i="80"/>
  <c r="D24" i="80"/>
  <c r="C44" i="2"/>
  <c r="D25" i="89"/>
  <c r="D25" i="80"/>
  <c r="C45" i="2"/>
  <c r="D26" i="80"/>
  <c r="D12" i="81"/>
  <c r="D14" i="81"/>
  <c r="D15" i="81"/>
  <c r="D16" i="81"/>
  <c r="D18" i="81"/>
  <c r="D20" i="81"/>
  <c r="D22" i="81"/>
  <c r="D24" i="81"/>
  <c r="D29" i="81"/>
  <c r="E26" i="81"/>
  <c r="E25" i="81"/>
  <c r="E24" i="81"/>
  <c r="E23" i="81"/>
  <c r="E22" i="81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6" i="81"/>
  <c r="E5" i="81"/>
  <c r="E4" i="81"/>
  <c r="E3" i="81"/>
  <c r="E2" i="81"/>
  <c r="D31" i="81"/>
  <c r="D3" i="77"/>
  <c r="D4" i="77"/>
  <c r="D6" i="77"/>
  <c r="D7" i="77"/>
  <c r="D8" i="77"/>
  <c r="D12" i="77"/>
  <c r="D14" i="77"/>
  <c r="D15" i="77"/>
  <c r="D16" i="77"/>
  <c r="D18" i="77"/>
  <c r="D20" i="77"/>
  <c r="D22" i="77"/>
  <c r="D23" i="77"/>
  <c r="D24" i="77"/>
  <c r="D25" i="77"/>
  <c r="D26" i="77"/>
  <c r="D2" i="78"/>
  <c r="D6" i="78"/>
  <c r="D7" i="78"/>
  <c r="D8" i="78"/>
  <c r="D14" i="78"/>
  <c r="D15" i="78"/>
  <c r="D16" i="78"/>
  <c r="D18" i="78"/>
  <c r="D19" i="78"/>
  <c r="D20" i="78"/>
  <c r="D22" i="78"/>
  <c r="D23" i="78"/>
  <c r="D24" i="78"/>
  <c r="D25" i="78"/>
  <c r="D26" i="78"/>
  <c r="D4" i="79"/>
  <c r="D5" i="79"/>
  <c r="D6" i="79"/>
  <c r="D7" i="79"/>
  <c r="D8" i="79"/>
  <c r="D12" i="79"/>
  <c r="D14" i="79"/>
  <c r="D15" i="79"/>
  <c r="D16" i="79"/>
  <c r="D18" i="79"/>
  <c r="D20" i="79"/>
  <c r="D22" i="79"/>
  <c r="D24" i="79"/>
  <c r="D25" i="79"/>
  <c r="C49" i="2"/>
  <c r="D26" i="79"/>
  <c r="D30" i="80"/>
  <c r="E27" i="80"/>
  <c r="E26" i="80"/>
  <c r="E25" i="80"/>
  <c r="E24" i="80"/>
  <c r="E23" i="80"/>
  <c r="E22" i="80"/>
  <c r="E21" i="80"/>
  <c r="E20" i="80"/>
  <c r="E19" i="80"/>
  <c r="E18" i="80"/>
  <c r="E17" i="80"/>
  <c r="E16" i="80"/>
  <c r="E15" i="80"/>
  <c r="E14" i="80"/>
  <c r="E13" i="80"/>
  <c r="E12" i="80"/>
  <c r="E11" i="80"/>
  <c r="E10" i="80"/>
  <c r="E9" i="80"/>
  <c r="E8" i="80"/>
  <c r="E7" i="80"/>
  <c r="E6" i="80"/>
  <c r="E5" i="80"/>
  <c r="E4" i="80"/>
  <c r="E3" i="80"/>
  <c r="E2" i="80"/>
  <c r="D30" i="79"/>
  <c r="E27" i="79"/>
  <c r="E26" i="79"/>
  <c r="E25" i="79"/>
  <c r="E24" i="79"/>
  <c r="E23" i="79"/>
  <c r="E22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E4" i="79"/>
  <c r="E3" i="79"/>
  <c r="E2" i="79"/>
  <c r="D30" i="78"/>
  <c r="E27" i="78"/>
  <c r="E26" i="78"/>
  <c r="E25" i="78"/>
  <c r="E24" i="78"/>
  <c r="E23" i="78"/>
  <c r="E22" i="78"/>
  <c r="E21" i="78"/>
  <c r="E20" i="78"/>
  <c r="E19" i="78"/>
  <c r="E18" i="78"/>
  <c r="E17" i="78"/>
  <c r="E16" i="78"/>
  <c r="E15" i="78"/>
  <c r="E14" i="78"/>
  <c r="E13" i="78"/>
  <c r="E12" i="78"/>
  <c r="E11" i="78"/>
  <c r="E10" i="78"/>
  <c r="E9" i="78"/>
  <c r="E8" i="78"/>
  <c r="E7" i="78"/>
  <c r="E6" i="78"/>
  <c r="E5" i="78"/>
  <c r="E4" i="78"/>
  <c r="E3" i="78"/>
  <c r="E2" i="78"/>
  <c r="D30" i="77"/>
  <c r="E27" i="77"/>
  <c r="E26" i="77"/>
  <c r="E25" i="77"/>
  <c r="E24" i="77"/>
  <c r="E23" i="77"/>
  <c r="E22" i="77"/>
  <c r="E21" i="77"/>
  <c r="E20" i="77"/>
  <c r="E19" i="77"/>
  <c r="E18" i="77"/>
  <c r="E17" i="77"/>
  <c r="E16" i="77"/>
  <c r="E15" i="77"/>
  <c r="E14" i="77"/>
  <c r="E13" i="77"/>
  <c r="E12" i="77"/>
  <c r="E11" i="77"/>
  <c r="E10" i="77"/>
  <c r="E9" i="77"/>
  <c r="E8" i="77"/>
  <c r="E7" i="77"/>
  <c r="E6" i="77"/>
  <c r="E5" i="77"/>
  <c r="E4" i="77"/>
  <c r="E3" i="77"/>
  <c r="E2" i="77"/>
  <c r="E2" i="76"/>
  <c r="E3" i="76"/>
  <c r="C30" i="76"/>
  <c r="E4" i="76"/>
  <c r="E5" i="76"/>
  <c r="E6" i="76"/>
  <c r="E7" i="76"/>
  <c r="E8" i="76"/>
  <c r="E9" i="76"/>
  <c r="E10" i="76"/>
  <c r="E11" i="76"/>
  <c r="E12" i="76"/>
  <c r="E13" i="76"/>
  <c r="E14" i="76"/>
  <c r="E15" i="76"/>
  <c r="E16" i="76"/>
  <c r="E17" i="76"/>
  <c r="E18" i="76"/>
  <c r="E19" i="76"/>
  <c r="E20" i="76"/>
  <c r="E21" i="76"/>
  <c r="E22" i="76"/>
  <c r="E23" i="76"/>
  <c r="E24" i="76"/>
  <c r="E25" i="76"/>
  <c r="E26" i="76"/>
  <c r="D29" i="76"/>
  <c r="C30" i="75"/>
  <c r="E2" i="75"/>
  <c r="E3" i="75"/>
  <c r="E4" i="75"/>
  <c r="E5" i="75"/>
  <c r="E6" i="75"/>
  <c r="E7" i="75"/>
  <c r="E8" i="75"/>
  <c r="E9" i="75"/>
  <c r="E10" i="75"/>
  <c r="E11" i="75"/>
  <c r="E12" i="75"/>
  <c r="E13" i="75"/>
  <c r="E14" i="75"/>
  <c r="E15" i="75"/>
  <c r="E16" i="75"/>
  <c r="E17" i="75"/>
  <c r="E18" i="75"/>
  <c r="E19" i="75"/>
  <c r="E20" i="75"/>
  <c r="E21" i="75"/>
  <c r="E22" i="75"/>
  <c r="E23" i="75"/>
  <c r="E24" i="75"/>
  <c r="E25" i="75"/>
  <c r="E26" i="75"/>
  <c r="D29" i="75"/>
  <c r="C31" i="76"/>
  <c r="D31" i="76"/>
  <c r="C32" i="76"/>
  <c r="D32" i="76"/>
  <c r="D30" i="76"/>
  <c r="C32" i="75"/>
  <c r="D32" i="75"/>
  <c r="C31" i="75"/>
  <c r="D31" i="75"/>
  <c r="D30" i="75"/>
  <c r="D4" i="74"/>
  <c r="D5" i="74"/>
  <c r="D6" i="74"/>
  <c r="D7" i="74"/>
  <c r="D8" i="74"/>
  <c r="D12" i="74"/>
  <c r="D14" i="74"/>
  <c r="D15" i="74"/>
  <c r="D16" i="52"/>
  <c r="D18" i="74"/>
  <c r="D19" i="74"/>
  <c r="D20" i="74"/>
  <c r="D29" i="74"/>
  <c r="E26" i="74"/>
  <c r="E25" i="74"/>
  <c r="D25" i="74"/>
  <c r="E24" i="74"/>
  <c r="D24" i="74"/>
  <c r="E23" i="74"/>
  <c r="E22" i="74"/>
  <c r="D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E8" i="74"/>
  <c r="E7" i="74"/>
  <c r="E6" i="74"/>
  <c r="E5" i="74"/>
  <c r="E4" i="74"/>
  <c r="E3" i="74"/>
  <c r="E2" i="74"/>
  <c r="D2" i="52"/>
  <c r="D4" i="52"/>
  <c r="D5" i="52"/>
  <c r="D6" i="52"/>
  <c r="D7" i="52"/>
  <c r="D8" i="52"/>
  <c r="D12" i="52"/>
  <c r="D13" i="52"/>
  <c r="D14" i="52"/>
  <c r="D15" i="52"/>
  <c r="D18" i="52"/>
  <c r="D20" i="52"/>
  <c r="D2" i="18"/>
  <c r="D4" i="18"/>
  <c r="D5" i="18"/>
  <c r="D6" i="18"/>
  <c r="D7" i="18"/>
  <c r="D8" i="18"/>
  <c r="D12" i="18"/>
  <c r="D13" i="18"/>
  <c r="D14" i="18"/>
  <c r="D15" i="18"/>
  <c r="D16" i="18"/>
  <c r="D18" i="18"/>
  <c r="D20" i="18"/>
  <c r="D2" i="25"/>
  <c r="D3" i="25"/>
  <c r="D4" i="25"/>
  <c r="D5" i="25"/>
  <c r="D6" i="25"/>
  <c r="D7" i="25"/>
  <c r="D8" i="25"/>
  <c r="D12" i="25"/>
  <c r="D14" i="25"/>
  <c r="D15" i="25"/>
  <c r="D16" i="25"/>
  <c r="D18" i="25"/>
  <c r="D20" i="25"/>
  <c r="D21" i="25"/>
  <c r="D22" i="25"/>
  <c r="C31" i="2"/>
  <c r="D5" i="53"/>
  <c r="E5" i="53"/>
  <c r="F23" i="73"/>
  <c r="F19" i="73"/>
  <c r="F18" i="73"/>
  <c r="F16" i="73"/>
  <c r="F15" i="73"/>
  <c r="F14" i="73"/>
  <c r="F12" i="73"/>
  <c r="F11" i="73"/>
  <c r="F5" i="73"/>
  <c r="F4" i="73"/>
  <c r="F3" i="73"/>
  <c r="F2" i="73"/>
  <c r="C11" i="71"/>
  <c r="E11" i="71"/>
  <c r="C25" i="72"/>
  <c r="C47" i="2"/>
  <c r="D29" i="72"/>
  <c r="E26" i="72"/>
  <c r="E24" i="72"/>
  <c r="E23" i="72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D6" i="72"/>
  <c r="E5" i="72"/>
  <c r="E4" i="72"/>
  <c r="E3" i="72"/>
  <c r="E2" i="72"/>
  <c r="D29" i="71"/>
  <c r="E26" i="71"/>
  <c r="E25" i="71"/>
  <c r="E24" i="71"/>
  <c r="E23" i="71"/>
  <c r="E22" i="71"/>
  <c r="E21" i="71"/>
  <c r="E20" i="71"/>
  <c r="E19" i="71"/>
  <c r="E18" i="71"/>
  <c r="E17" i="71"/>
  <c r="E16" i="71"/>
  <c r="E15" i="71"/>
  <c r="E14" i="71"/>
  <c r="E13" i="71"/>
  <c r="E12" i="71"/>
  <c r="E10" i="71"/>
  <c r="E9" i="71"/>
  <c r="E8" i="71"/>
  <c r="E7" i="71"/>
  <c r="E6" i="71"/>
  <c r="D6" i="71"/>
  <c r="E5" i="71"/>
  <c r="E4" i="71"/>
  <c r="E3" i="71"/>
  <c r="E2" i="71"/>
  <c r="D32" i="70"/>
  <c r="D30" i="70"/>
  <c r="E27" i="70"/>
  <c r="E26" i="70"/>
  <c r="E25" i="70"/>
  <c r="E24" i="70"/>
  <c r="E23" i="70"/>
  <c r="E22" i="70"/>
  <c r="E21" i="70"/>
  <c r="E20" i="70"/>
  <c r="E19" i="70"/>
  <c r="E18" i="70"/>
  <c r="E17" i="70"/>
  <c r="E16" i="70"/>
  <c r="E15" i="70"/>
  <c r="E14" i="70"/>
  <c r="E13" i="70"/>
  <c r="E12" i="70"/>
  <c r="E11" i="70"/>
  <c r="E10" i="70"/>
  <c r="E9" i="70"/>
  <c r="E8" i="70"/>
  <c r="E7" i="70"/>
  <c r="D7" i="70"/>
  <c r="E6" i="70"/>
  <c r="E5" i="70"/>
  <c r="E4" i="70"/>
  <c r="E2" i="70"/>
  <c r="E25" i="72"/>
  <c r="D25" i="72"/>
  <c r="G10" i="69"/>
  <c r="I3" i="69"/>
  <c r="I4" i="69"/>
  <c r="I5" i="69"/>
  <c r="I6" i="69"/>
  <c r="I7" i="69"/>
  <c r="I8" i="69"/>
  <c r="G9" i="69"/>
  <c r="I14" i="69"/>
  <c r="D2" i="61"/>
  <c r="D3" i="61"/>
  <c r="D4" i="61"/>
  <c r="D5" i="61"/>
  <c r="D6" i="61"/>
  <c r="D7" i="61"/>
  <c r="D8" i="61"/>
  <c r="D12" i="61"/>
  <c r="D14" i="61"/>
  <c r="D15" i="61"/>
  <c r="D16" i="61"/>
  <c r="D18" i="61"/>
  <c r="D19" i="61"/>
  <c r="D20" i="61"/>
  <c r="D21" i="61"/>
  <c r="D22" i="61"/>
  <c r="D24" i="61"/>
  <c r="D25" i="61"/>
  <c r="D27" i="61"/>
  <c r="D2" i="55"/>
  <c r="D4" i="55"/>
  <c r="D5" i="55"/>
  <c r="D6" i="55"/>
  <c r="D7" i="55"/>
  <c r="D8" i="55"/>
  <c r="D12" i="55"/>
  <c r="D14" i="55"/>
  <c r="D15" i="55"/>
  <c r="D16" i="55"/>
  <c r="D18" i="55"/>
  <c r="D20" i="55"/>
  <c r="D22" i="55"/>
  <c r="D23" i="55"/>
  <c r="D24" i="55"/>
  <c r="D25" i="55"/>
  <c r="D4" i="65"/>
  <c r="D5" i="65"/>
  <c r="D6" i="65"/>
  <c r="D7" i="65"/>
  <c r="D8" i="65"/>
  <c r="D10" i="65"/>
  <c r="D11" i="65"/>
  <c r="D12" i="65"/>
  <c r="D14" i="65"/>
  <c r="D15" i="65"/>
  <c r="D16" i="65"/>
  <c r="D18" i="65"/>
  <c r="D20" i="65"/>
  <c r="D22" i="65"/>
  <c r="D23" i="65"/>
  <c r="D24" i="65"/>
  <c r="D25" i="65"/>
  <c r="D26" i="65"/>
  <c r="D4" i="66"/>
  <c r="D5" i="66"/>
  <c r="D6" i="66"/>
  <c r="D7" i="66"/>
  <c r="D8" i="66"/>
  <c r="D12" i="66"/>
  <c r="D14" i="66"/>
  <c r="D15" i="66"/>
  <c r="D16" i="66"/>
  <c r="D17" i="66"/>
  <c r="D18" i="66"/>
  <c r="D19" i="66"/>
  <c r="D20" i="66"/>
  <c r="D22" i="66"/>
  <c r="D23" i="66"/>
  <c r="D24" i="66"/>
  <c r="D25" i="66"/>
  <c r="D26" i="66"/>
  <c r="C46" i="2"/>
  <c r="D4" i="67"/>
  <c r="D5" i="67"/>
  <c r="D6" i="67"/>
  <c r="D7" i="67"/>
  <c r="D8" i="67"/>
  <c r="D9" i="67"/>
  <c r="D12" i="67"/>
  <c r="D13" i="67"/>
  <c r="D14" i="67"/>
  <c r="D15" i="67"/>
  <c r="D16" i="67"/>
  <c r="D18" i="67"/>
  <c r="D19" i="67"/>
  <c r="D20" i="67"/>
  <c r="D22" i="67"/>
  <c r="D23" i="67"/>
  <c r="D24" i="67"/>
  <c r="D25" i="67"/>
  <c r="D26" i="67"/>
  <c r="D29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8" i="67"/>
  <c r="E7" i="67"/>
  <c r="E6" i="67"/>
  <c r="E5" i="67"/>
  <c r="E4" i="67"/>
  <c r="E3" i="67"/>
  <c r="E2" i="67"/>
  <c r="E26" i="66"/>
  <c r="D30" i="66"/>
  <c r="E27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D29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3" i="65"/>
  <c r="E2" i="65"/>
  <c r="D29" i="64"/>
  <c r="E26" i="64"/>
  <c r="E25" i="64"/>
  <c r="D25" i="64"/>
  <c r="E24" i="64"/>
  <c r="D24" i="64"/>
  <c r="E23" i="64"/>
  <c r="D23" i="64"/>
  <c r="E22" i="64"/>
  <c r="D22" i="64"/>
  <c r="E21" i="64"/>
  <c r="E20" i="64"/>
  <c r="D20" i="64"/>
  <c r="E19" i="64"/>
  <c r="E18" i="64"/>
  <c r="E17" i="64"/>
  <c r="D17" i="64"/>
  <c r="E16" i="64"/>
  <c r="E15" i="64"/>
  <c r="D15" i="64"/>
  <c r="E14" i="64"/>
  <c r="D14" i="64"/>
  <c r="E13" i="64"/>
  <c r="E12" i="64"/>
  <c r="D12" i="64"/>
  <c r="E11" i="64"/>
  <c r="E10" i="64"/>
  <c r="E9" i="64"/>
  <c r="E8" i="64"/>
  <c r="D8" i="64"/>
  <c r="E7" i="64"/>
  <c r="E6" i="64"/>
  <c r="D6" i="64"/>
  <c r="E5" i="64"/>
  <c r="E4" i="64"/>
  <c r="D4" i="64"/>
  <c r="E3" i="64"/>
  <c r="E2" i="64"/>
  <c r="D31" i="64"/>
  <c r="D3" i="70"/>
  <c r="D2" i="70"/>
  <c r="D5" i="70"/>
  <c r="D6" i="70"/>
  <c r="D8" i="70"/>
  <c r="D9" i="70"/>
  <c r="D11" i="70"/>
  <c r="D13" i="70"/>
  <c r="D15" i="70"/>
  <c r="D16" i="70"/>
  <c r="D17" i="70"/>
  <c r="D19" i="70"/>
  <c r="D21" i="70"/>
  <c r="D22" i="70"/>
  <c r="D23" i="70"/>
  <c r="D24" i="70"/>
  <c r="D25" i="70"/>
  <c r="D26" i="70"/>
  <c r="D27" i="70"/>
  <c r="D30" i="63"/>
  <c r="E27" i="63"/>
  <c r="E26" i="63"/>
  <c r="D26" i="63"/>
  <c r="E25" i="63"/>
  <c r="D25" i="63"/>
  <c r="E24" i="63"/>
  <c r="D24" i="63"/>
  <c r="E23" i="63"/>
  <c r="D23" i="63"/>
  <c r="E22" i="63"/>
  <c r="E21" i="63"/>
  <c r="D21" i="63"/>
  <c r="E20" i="63"/>
  <c r="E19" i="63"/>
  <c r="E18" i="63"/>
  <c r="E17" i="63"/>
  <c r="E16" i="63"/>
  <c r="D16" i="63"/>
  <c r="E15" i="63"/>
  <c r="D15" i="63"/>
  <c r="E14" i="63"/>
  <c r="E13" i="63"/>
  <c r="D13" i="63"/>
  <c r="E12" i="63"/>
  <c r="E11" i="63"/>
  <c r="E10" i="63"/>
  <c r="E9" i="63"/>
  <c r="D9" i="63"/>
  <c r="E8" i="63"/>
  <c r="E7" i="63"/>
  <c r="D7" i="63"/>
  <c r="E6" i="63"/>
  <c r="E5" i="63"/>
  <c r="D5" i="63"/>
  <c r="E4" i="63"/>
  <c r="E2" i="63"/>
  <c r="D29" i="62"/>
  <c r="E26" i="62"/>
  <c r="E25" i="62"/>
  <c r="D25" i="62"/>
  <c r="E24" i="62"/>
  <c r="D24" i="62"/>
  <c r="E23" i="62"/>
  <c r="D23" i="62"/>
  <c r="E22" i="62"/>
  <c r="D22" i="62"/>
  <c r="E21" i="62"/>
  <c r="E20" i="62"/>
  <c r="D20" i="62"/>
  <c r="E19" i="62"/>
  <c r="E18" i="62"/>
  <c r="E17" i="62"/>
  <c r="E16" i="62"/>
  <c r="E15" i="62"/>
  <c r="D15" i="62"/>
  <c r="E14" i="62"/>
  <c r="D14" i="62"/>
  <c r="E13" i="62"/>
  <c r="E12" i="62"/>
  <c r="D12" i="62"/>
  <c r="E11" i="62"/>
  <c r="E10" i="62"/>
  <c r="E9" i="62"/>
  <c r="E8" i="62"/>
  <c r="D8" i="62"/>
  <c r="E7" i="62"/>
  <c r="E6" i="62"/>
  <c r="D6" i="62"/>
  <c r="E5" i="62"/>
  <c r="E4" i="62"/>
  <c r="D4" i="62"/>
  <c r="E3" i="62"/>
  <c r="D3" i="62"/>
  <c r="E2" i="62"/>
  <c r="D32" i="63"/>
  <c r="D29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3" i="61"/>
  <c r="E2" i="61"/>
  <c r="E28" i="60"/>
  <c r="E27" i="60"/>
  <c r="C43" i="2"/>
  <c r="D28" i="60"/>
  <c r="D2" i="85"/>
  <c r="D19" i="60"/>
  <c r="D30" i="60"/>
  <c r="E26" i="60"/>
  <c r="E25" i="60"/>
  <c r="D25" i="60"/>
  <c r="E24" i="60"/>
  <c r="D24" i="60"/>
  <c r="E23" i="60"/>
  <c r="D23" i="60"/>
  <c r="E22" i="60"/>
  <c r="D22" i="60"/>
  <c r="E21" i="60"/>
  <c r="E20" i="60"/>
  <c r="D20" i="60"/>
  <c r="E19" i="60"/>
  <c r="E18" i="60"/>
  <c r="E17" i="60"/>
  <c r="E16" i="60"/>
  <c r="E15" i="60"/>
  <c r="D15" i="60"/>
  <c r="E14" i="60"/>
  <c r="D14" i="60"/>
  <c r="E13" i="60"/>
  <c r="E12" i="60"/>
  <c r="D12" i="60"/>
  <c r="E11" i="60"/>
  <c r="E10" i="60"/>
  <c r="D10" i="60"/>
  <c r="E9" i="60"/>
  <c r="E8" i="60"/>
  <c r="D8" i="60"/>
  <c r="E7" i="60"/>
  <c r="E6" i="60"/>
  <c r="D6" i="60"/>
  <c r="E5" i="60"/>
  <c r="E4" i="60"/>
  <c r="D4" i="60"/>
  <c r="E3" i="60"/>
  <c r="E2" i="60"/>
  <c r="E7" i="59"/>
  <c r="E21" i="59"/>
  <c r="D29" i="59"/>
  <c r="D27" i="59"/>
  <c r="E26" i="59"/>
  <c r="E25" i="59"/>
  <c r="D25" i="59"/>
  <c r="E24" i="59"/>
  <c r="D24" i="59"/>
  <c r="E23" i="59"/>
  <c r="D23" i="59"/>
  <c r="E22" i="59"/>
  <c r="D22" i="59"/>
  <c r="E20" i="59"/>
  <c r="D20" i="59"/>
  <c r="E19" i="59"/>
  <c r="D19" i="59"/>
  <c r="E18" i="59"/>
  <c r="E17" i="59"/>
  <c r="E16" i="59"/>
  <c r="E15" i="59"/>
  <c r="D15" i="59"/>
  <c r="E14" i="59"/>
  <c r="D14" i="59"/>
  <c r="E13" i="59"/>
  <c r="D13" i="59"/>
  <c r="E12" i="59"/>
  <c r="D12" i="59"/>
  <c r="E11" i="59"/>
  <c r="E10" i="59"/>
  <c r="E9" i="59"/>
  <c r="E8" i="59"/>
  <c r="D8" i="59"/>
  <c r="E6" i="59"/>
  <c r="D6" i="59"/>
  <c r="E5" i="59"/>
  <c r="E4" i="59"/>
  <c r="D4" i="59"/>
  <c r="E3" i="59"/>
  <c r="D3" i="59"/>
  <c r="E2" i="59"/>
  <c r="D29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" i="55"/>
  <c r="E2" i="55"/>
  <c r="D29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D6" i="54"/>
  <c r="E5" i="54"/>
  <c r="E4" i="54"/>
  <c r="E3" i="54"/>
  <c r="E2" i="54"/>
  <c r="E25" i="47"/>
  <c r="D29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3" i="52"/>
  <c r="E2" i="52"/>
  <c r="E20" i="47"/>
  <c r="D29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D6" i="51"/>
  <c r="E5" i="51"/>
  <c r="E4" i="51"/>
  <c r="E3" i="51"/>
  <c r="E2" i="51"/>
  <c r="E16" i="47"/>
  <c r="C42" i="2"/>
  <c r="D27" i="50"/>
  <c r="D29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D6" i="50"/>
  <c r="E5" i="50"/>
  <c r="E4" i="50"/>
  <c r="E3" i="50"/>
  <c r="E2" i="50"/>
  <c r="E12" i="47"/>
  <c r="D29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I6" i="48"/>
  <c r="E6" i="48"/>
  <c r="D6" i="48"/>
  <c r="E5" i="48"/>
  <c r="I4" i="48"/>
  <c r="E4" i="48"/>
  <c r="E3" i="48"/>
  <c r="E2" i="48"/>
  <c r="K11" i="12"/>
  <c r="E11" i="47"/>
  <c r="E14" i="47"/>
  <c r="E15" i="47"/>
  <c r="E21" i="47"/>
  <c r="E24" i="47"/>
  <c r="E32" i="47"/>
  <c r="E5" i="47"/>
  <c r="E6" i="47"/>
  <c r="E4" i="47"/>
  <c r="E3" i="47"/>
  <c r="E2" i="47"/>
  <c r="C40" i="2"/>
  <c r="D25" i="90"/>
  <c r="D27" i="86"/>
  <c r="D25" i="11"/>
  <c r="D2" i="48"/>
  <c r="D2" i="12"/>
  <c r="E29" i="23"/>
  <c r="D29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" i="46"/>
  <c r="E42" i="23"/>
  <c r="D29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D6" i="45"/>
  <c r="E5" i="45"/>
  <c r="E4" i="45"/>
  <c r="E3" i="45"/>
  <c r="E2" i="45"/>
  <c r="E28" i="23"/>
  <c r="D29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D29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D6" i="43"/>
  <c r="E5" i="43"/>
  <c r="E4" i="43"/>
  <c r="E3" i="43"/>
  <c r="E2" i="43"/>
  <c r="D29" i="42"/>
  <c r="D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D6" i="42"/>
  <c r="E5" i="42"/>
  <c r="E4" i="42"/>
  <c r="E3" i="42"/>
  <c r="E2" i="42"/>
  <c r="D31" i="43"/>
  <c r="D3" i="40"/>
  <c r="D6" i="40"/>
  <c r="D14" i="40"/>
  <c r="D15" i="40"/>
  <c r="D16" i="40"/>
  <c r="D17" i="40"/>
  <c r="D18" i="34"/>
  <c r="D19" i="40"/>
  <c r="D22" i="40"/>
  <c r="D23" i="40"/>
  <c r="D25" i="40"/>
  <c r="D29" i="39"/>
  <c r="E26" i="39"/>
  <c r="E25" i="39"/>
  <c r="E24" i="39"/>
  <c r="D24" i="39"/>
  <c r="E23" i="39"/>
  <c r="E22" i="39"/>
  <c r="D22" i="39"/>
  <c r="E21" i="39"/>
  <c r="E20" i="39"/>
  <c r="E19" i="39"/>
  <c r="D19" i="39"/>
  <c r="E18" i="39"/>
  <c r="E17" i="39"/>
  <c r="E16" i="39"/>
  <c r="D16" i="39"/>
  <c r="E15" i="39"/>
  <c r="D15" i="39"/>
  <c r="E14" i="39"/>
  <c r="D14" i="39"/>
  <c r="E13" i="39"/>
  <c r="E12" i="39"/>
  <c r="E11" i="39"/>
  <c r="E10" i="39"/>
  <c r="E9" i="39"/>
  <c r="E8" i="39"/>
  <c r="E7" i="39"/>
  <c r="E6" i="39"/>
  <c r="D6" i="39"/>
  <c r="E5" i="39"/>
  <c r="E4" i="39"/>
  <c r="E3" i="39"/>
  <c r="E2" i="39"/>
  <c r="D29" i="38"/>
  <c r="E26" i="38"/>
  <c r="E25" i="38"/>
  <c r="E24" i="38"/>
  <c r="D24" i="38"/>
  <c r="E23" i="38"/>
  <c r="E22" i="38"/>
  <c r="D22" i="38"/>
  <c r="E21" i="38"/>
  <c r="E20" i="38"/>
  <c r="E19" i="38"/>
  <c r="D19" i="38"/>
  <c r="E18" i="38"/>
  <c r="E17" i="38"/>
  <c r="E16" i="38"/>
  <c r="E15" i="38"/>
  <c r="D15" i="38"/>
  <c r="E14" i="38"/>
  <c r="D14" i="38"/>
  <c r="E13" i="38"/>
  <c r="E12" i="38"/>
  <c r="D12" i="38"/>
  <c r="E11" i="38"/>
  <c r="E10" i="38"/>
  <c r="E9" i="38"/>
  <c r="E8" i="38"/>
  <c r="D8" i="38"/>
  <c r="E7" i="38"/>
  <c r="E6" i="38"/>
  <c r="D6" i="38"/>
  <c r="E5" i="38"/>
  <c r="E4" i="38"/>
  <c r="E3" i="38"/>
  <c r="D3" i="38"/>
  <c r="E2" i="38"/>
  <c r="D29" i="37"/>
  <c r="E26" i="37"/>
  <c r="E25" i="37"/>
  <c r="D25" i="37"/>
  <c r="E24" i="37"/>
  <c r="D24" i="37"/>
  <c r="E23" i="37"/>
  <c r="E22" i="37"/>
  <c r="D22" i="37"/>
  <c r="E21" i="37"/>
  <c r="E20" i="37"/>
  <c r="E19" i="37"/>
  <c r="E18" i="37"/>
  <c r="E17" i="37"/>
  <c r="E16" i="37"/>
  <c r="E15" i="37"/>
  <c r="D15" i="37"/>
  <c r="E14" i="37"/>
  <c r="D14" i="37"/>
  <c r="E13" i="37"/>
  <c r="E12" i="37"/>
  <c r="E11" i="37"/>
  <c r="E10" i="37"/>
  <c r="E9" i="37"/>
  <c r="E8" i="37"/>
  <c r="D8" i="37"/>
  <c r="E7" i="37"/>
  <c r="E6" i="37"/>
  <c r="D6" i="37"/>
  <c r="E5" i="37"/>
  <c r="E4" i="37"/>
  <c r="E3" i="37"/>
  <c r="D3" i="37"/>
  <c r="E2" i="37"/>
  <c r="D29" i="36"/>
  <c r="E26" i="36"/>
  <c r="E25" i="36"/>
  <c r="D25" i="36"/>
  <c r="E24" i="36"/>
  <c r="D24" i="36"/>
  <c r="E23" i="36"/>
  <c r="E22" i="36"/>
  <c r="D22" i="36"/>
  <c r="E21" i="36"/>
  <c r="E20" i="36"/>
  <c r="E19" i="36"/>
  <c r="E18" i="36"/>
  <c r="E17" i="36"/>
  <c r="E16" i="36"/>
  <c r="D16" i="36"/>
  <c r="E15" i="36"/>
  <c r="D15" i="36"/>
  <c r="E14" i="36"/>
  <c r="D14" i="36"/>
  <c r="E13" i="36"/>
  <c r="E12" i="36"/>
  <c r="E11" i="36"/>
  <c r="E10" i="36"/>
  <c r="E9" i="36"/>
  <c r="E8" i="36"/>
  <c r="E7" i="36"/>
  <c r="E6" i="36"/>
  <c r="D6" i="36"/>
  <c r="E5" i="36"/>
  <c r="E4" i="36"/>
  <c r="E3" i="36"/>
  <c r="D3" i="36"/>
  <c r="E2" i="36"/>
  <c r="D29" i="35"/>
  <c r="E26" i="35"/>
  <c r="E25" i="35"/>
  <c r="E24" i="35"/>
  <c r="D24" i="35"/>
  <c r="E23" i="35"/>
  <c r="E22" i="35"/>
  <c r="D22" i="35"/>
  <c r="E21" i="35"/>
  <c r="E20" i="35"/>
  <c r="E19" i="35"/>
  <c r="D19" i="35"/>
  <c r="E18" i="35"/>
  <c r="E17" i="35"/>
  <c r="E16" i="35"/>
  <c r="E15" i="35"/>
  <c r="D15" i="35"/>
  <c r="E14" i="35"/>
  <c r="D14" i="35"/>
  <c r="E13" i="35"/>
  <c r="E12" i="35"/>
  <c r="E11" i="35"/>
  <c r="E10" i="35"/>
  <c r="E9" i="35"/>
  <c r="E8" i="35"/>
  <c r="E7" i="35"/>
  <c r="E6" i="35"/>
  <c r="D6" i="35"/>
  <c r="E5" i="35"/>
  <c r="E4" i="35"/>
  <c r="E3" i="35"/>
  <c r="E2" i="35"/>
  <c r="E5" i="23"/>
  <c r="D29" i="34"/>
  <c r="E26" i="34"/>
  <c r="E25" i="34"/>
  <c r="D25" i="34"/>
  <c r="E24" i="34"/>
  <c r="E23" i="34"/>
  <c r="E22" i="34"/>
  <c r="D22" i="34"/>
  <c r="E21" i="34"/>
  <c r="E20" i="34"/>
  <c r="E19" i="34"/>
  <c r="D19" i="34"/>
  <c r="E18" i="34"/>
  <c r="E17" i="34"/>
  <c r="E16" i="34"/>
  <c r="E15" i="34"/>
  <c r="D15" i="34"/>
  <c r="E14" i="34"/>
  <c r="D14" i="34"/>
  <c r="E13" i="34"/>
  <c r="E12" i="34"/>
  <c r="E11" i="34"/>
  <c r="E10" i="34"/>
  <c r="E9" i="34"/>
  <c r="E8" i="34"/>
  <c r="E7" i="34"/>
  <c r="E6" i="34"/>
  <c r="D6" i="34"/>
  <c r="E5" i="34"/>
  <c r="E4" i="34"/>
  <c r="E3" i="34"/>
  <c r="E2" i="34"/>
  <c r="E35" i="23"/>
  <c r="E25" i="23"/>
  <c r="D31" i="33"/>
  <c r="E26" i="33"/>
  <c r="E25" i="33"/>
  <c r="E24" i="33"/>
  <c r="E23" i="33"/>
  <c r="E22" i="33"/>
  <c r="D22" i="33"/>
  <c r="E21" i="33"/>
  <c r="E20" i="33"/>
  <c r="E19" i="33"/>
  <c r="D19" i="33"/>
  <c r="E18" i="33"/>
  <c r="E17" i="33"/>
  <c r="E16" i="33"/>
  <c r="D16" i="33"/>
  <c r="E15" i="33"/>
  <c r="D15" i="33"/>
  <c r="E14" i="33"/>
  <c r="D14" i="33"/>
  <c r="E13" i="33"/>
  <c r="E12" i="33"/>
  <c r="E11" i="33"/>
  <c r="E10" i="33"/>
  <c r="E9" i="33"/>
  <c r="E8" i="33"/>
  <c r="D8" i="33"/>
  <c r="E7" i="33"/>
  <c r="E6" i="33"/>
  <c r="D6" i="33"/>
  <c r="E5" i="33"/>
  <c r="E4" i="33"/>
  <c r="E3" i="33"/>
  <c r="E2" i="33"/>
  <c r="D29" i="32"/>
  <c r="E26" i="32"/>
  <c r="E25" i="32"/>
  <c r="E24" i="32"/>
  <c r="E23" i="32"/>
  <c r="D23" i="32"/>
  <c r="E22" i="32"/>
  <c r="D22" i="32"/>
  <c r="E21" i="32"/>
  <c r="E20" i="32"/>
  <c r="E19" i="32"/>
  <c r="E18" i="32"/>
  <c r="E17" i="32"/>
  <c r="E16" i="32"/>
  <c r="D16" i="32"/>
  <c r="E15" i="32"/>
  <c r="D15" i="32"/>
  <c r="E14" i="32"/>
  <c r="D14" i="32"/>
  <c r="E13" i="32"/>
  <c r="E12" i="32"/>
  <c r="E11" i="32"/>
  <c r="E10" i="32"/>
  <c r="E9" i="32"/>
  <c r="E8" i="32"/>
  <c r="E7" i="32"/>
  <c r="E6" i="32"/>
  <c r="D6" i="32"/>
  <c r="E5" i="32"/>
  <c r="E4" i="32"/>
  <c r="E3" i="32"/>
  <c r="E2" i="32"/>
  <c r="E18" i="23"/>
  <c r="D37" i="31"/>
  <c r="E31" i="31"/>
  <c r="E30" i="31"/>
  <c r="C30" i="2"/>
  <c r="D30" i="31"/>
  <c r="E29" i="31"/>
  <c r="C29" i="2"/>
  <c r="D29" i="31"/>
  <c r="E28" i="31"/>
  <c r="C28" i="2"/>
  <c r="D28" i="31"/>
  <c r="E27" i="31"/>
  <c r="C27" i="2"/>
  <c r="D27" i="31"/>
  <c r="E26" i="31"/>
  <c r="E25" i="31"/>
  <c r="E24" i="31"/>
  <c r="E23" i="31"/>
  <c r="D23" i="31"/>
  <c r="E22" i="31"/>
  <c r="D22" i="31"/>
  <c r="E21" i="31"/>
  <c r="E20" i="31"/>
  <c r="E19" i="31"/>
  <c r="D19" i="31"/>
  <c r="E18" i="31"/>
  <c r="E17" i="31"/>
  <c r="E16" i="31"/>
  <c r="D16" i="31"/>
  <c r="E15" i="31"/>
  <c r="D15" i="31"/>
  <c r="D14" i="31"/>
  <c r="E14" i="31"/>
  <c r="E13" i="31"/>
  <c r="E12" i="31"/>
  <c r="E11" i="31"/>
  <c r="E10" i="31"/>
  <c r="E9" i="31"/>
  <c r="E8" i="31"/>
  <c r="D8" i="31"/>
  <c r="E7" i="31"/>
  <c r="E6" i="31"/>
  <c r="D6" i="31"/>
  <c r="E5" i="31"/>
  <c r="E4" i="31"/>
  <c r="E3" i="31"/>
  <c r="E2" i="31"/>
  <c r="D29" i="30"/>
  <c r="E26" i="30"/>
  <c r="E25" i="30"/>
  <c r="D25" i="30"/>
  <c r="E24" i="30"/>
  <c r="E23" i="30"/>
  <c r="E22" i="30"/>
  <c r="D22" i="30"/>
  <c r="E21" i="30"/>
  <c r="E20" i="30"/>
  <c r="E19" i="30"/>
  <c r="E18" i="30"/>
  <c r="E17" i="30"/>
  <c r="E16" i="30"/>
  <c r="D16" i="30"/>
  <c r="E15" i="30"/>
  <c r="D15" i="30"/>
  <c r="E14" i="30"/>
  <c r="D14" i="30"/>
  <c r="E13" i="30"/>
  <c r="E12" i="30"/>
  <c r="E11" i="30"/>
  <c r="E10" i="30"/>
  <c r="E9" i="30"/>
  <c r="E8" i="30"/>
  <c r="E7" i="30"/>
  <c r="E6" i="30"/>
  <c r="D6" i="30"/>
  <c r="E5" i="30"/>
  <c r="E4" i="30"/>
  <c r="E3" i="30"/>
  <c r="E2" i="30"/>
  <c r="C39" i="2"/>
  <c r="D6" i="28"/>
  <c r="D8" i="28"/>
  <c r="D14" i="28"/>
  <c r="D15" i="28"/>
  <c r="D22" i="28"/>
  <c r="D23" i="28"/>
  <c r="D24" i="28"/>
  <c r="D28" i="28"/>
  <c r="D29" i="28"/>
  <c r="D30" i="28"/>
  <c r="D31" i="28"/>
  <c r="D37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D6" i="27"/>
  <c r="D8" i="27"/>
  <c r="D14" i="27"/>
  <c r="D15" i="27"/>
  <c r="D16" i="27"/>
  <c r="D22" i="27"/>
  <c r="D24" i="27"/>
  <c r="D25" i="27"/>
  <c r="C38" i="2"/>
  <c r="D26" i="7"/>
  <c r="D27" i="27"/>
  <c r="E27" i="27"/>
  <c r="D30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2" i="27"/>
  <c r="D6" i="10"/>
  <c r="D8" i="10"/>
  <c r="D14" i="10"/>
  <c r="D15" i="10"/>
  <c r="D19" i="10"/>
  <c r="D20" i="10"/>
  <c r="D22" i="10"/>
  <c r="D23" i="10"/>
  <c r="D28" i="10"/>
  <c r="E24" i="23"/>
  <c r="D31" i="25"/>
  <c r="E26" i="25"/>
  <c r="E25" i="25"/>
  <c r="E24" i="25"/>
  <c r="E23" i="25"/>
  <c r="D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2" i="25"/>
  <c r="D8" i="6"/>
  <c r="D20" i="6"/>
  <c r="D16" i="6"/>
  <c r="D6" i="6"/>
  <c r="D14" i="6"/>
  <c r="D15" i="6"/>
  <c r="D19" i="6"/>
  <c r="E4" i="23"/>
  <c r="D8" i="4"/>
  <c r="D20" i="4"/>
  <c r="D16" i="4"/>
  <c r="D6" i="4"/>
  <c r="D14" i="4"/>
  <c r="D15" i="4"/>
  <c r="D19" i="4"/>
  <c r="E3" i="23"/>
  <c r="D8" i="5"/>
  <c r="D20" i="5"/>
  <c r="D22" i="5"/>
  <c r="D16" i="5"/>
  <c r="D6" i="5"/>
  <c r="D12" i="5"/>
  <c r="D14" i="5"/>
  <c r="D15" i="5"/>
  <c r="E2" i="23"/>
  <c r="D8" i="24"/>
  <c r="D20" i="24"/>
  <c r="D22" i="24"/>
  <c r="D16" i="24"/>
  <c r="D3" i="24"/>
  <c r="D6" i="24"/>
  <c r="D14" i="24"/>
  <c r="D15" i="24"/>
  <c r="D19" i="24"/>
  <c r="D23" i="24"/>
  <c r="D24" i="24"/>
  <c r="D27" i="24"/>
  <c r="D29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E2" i="24"/>
  <c r="E9" i="10"/>
  <c r="D6" i="12"/>
  <c r="D8" i="12"/>
  <c r="D14" i="12"/>
  <c r="D15" i="12"/>
  <c r="D19" i="12"/>
  <c r="D20" i="12"/>
  <c r="D22" i="12"/>
  <c r="E8" i="23"/>
  <c r="D30" i="10"/>
  <c r="F13" i="73"/>
  <c r="E13" i="47"/>
  <c r="E14" i="23"/>
  <c r="D3" i="7"/>
  <c r="D6" i="7"/>
  <c r="D8" i="7"/>
  <c r="D12" i="7"/>
  <c r="D14" i="7"/>
  <c r="D15" i="7"/>
  <c r="D20" i="7"/>
  <c r="E6" i="23"/>
  <c r="D6" i="16"/>
  <c r="D8" i="16"/>
  <c r="D14" i="16"/>
  <c r="D15" i="16"/>
  <c r="D20" i="16"/>
  <c r="D22" i="16"/>
  <c r="D23" i="16"/>
  <c r="D24" i="16"/>
  <c r="D3" i="17"/>
  <c r="D6" i="17"/>
  <c r="D8" i="17"/>
  <c r="D14" i="17"/>
  <c r="D15" i="17"/>
  <c r="D19" i="17"/>
  <c r="D20" i="17"/>
  <c r="D22" i="17"/>
  <c r="D24" i="17"/>
  <c r="D6" i="22"/>
  <c r="D8" i="22"/>
  <c r="D13" i="22"/>
  <c r="D14" i="22"/>
  <c r="D15" i="22"/>
  <c r="D19" i="22"/>
  <c r="D20" i="22"/>
  <c r="D22" i="22"/>
  <c r="D23" i="22"/>
  <c r="D24" i="22"/>
  <c r="D25" i="22"/>
  <c r="C2" i="21"/>
  <c r="C6" i="21"/>
  <c r="D6" i="21"/>
  <c r="C7" i="21"/>
  <c r="D8" i="21"/>
  <c r="C14" i="21"/>
  <c r="D14" i="21"/>
  <c r="D15" i="21"/>
  <c r="D16" i="21"/>
  <c r="C17" i="21"/>
  <c r="D20" i="21"/>
  <c r="D22" i="21"/>
  <c r="D25" i="21"/>
  <c r="D26" i="21"/>
  <c r="D27" i="21"/>
  <c r="D28" i="21"/>
  <c r="D29" i="21"/>
  <c r="D30" i="21"/>
  <c r="D31" i="21"/>
  <c r="D6" i="20"/>
  <c r="D8" i="20"/>
  <c r="D14" i="20"/>
  <c r="D15" i="20"/>
  <c r="D19" i="20"/>
  <c r="D20" i="20"/>
  <c r="D22" i="20"/>
  <c r="D27" i="20"/>
  <c r="D28" i="20"/>
  <c r="D29" i="20"/>
  <c r="D30" i="20"/>
  <c r="E15" i="23"/>
  <c r="D2" i="16"/>
  <c r="D3" i="16"/>
  <c r="D4" i="16"/>
  <c r="D5" i="16"/>
  <c r="D7" i="16"/>
  <c r="D12" i="16"/>
  <c r="D16" i="16"/>
  <c r="D18" i="16"/>
  <c r="D25" i="16"/>
  <c r="D26" i="16"/>
  <c r="E16" i="23"/>
  <c r="E23" i="23"/>
  <c r="E19" i="23"/>
  <c r="E36" i="23"/>
  <c r="D3" i="19"/>
  <c r="D6" i="19"/>
  <c r="D8" i="19"/>
  <c r="D14" i="19"/>
  <c r="D15" i="19"/>
  <c r="D16" i="19"/>
  <c r="D19" i="19"/>
  <c r="D20" i="19"/>
  <c r="E40" i="23"/>
  <c r="D3" i="1"/>
  <c r="E6" i="3"/>
  <c r="E6" i="1"/>
  <c r="E6" i="4"/>
  <c r="E6" i="5"/>
  <c r="E6" i="6"/>
  <c r="E6" i="7"/>
  <c r="E6" i="8"/>
  <c r="E6" i="9"/>
  <c r="E6" i="10"/>
  <c r="E6" i="11"/>
  <c r="E6" i="2"/>
  <c r="F6" i="2"/>
  <c r="D6" i="1"/>
  <c r="D8" i="1"/>
  <c r="D14" i="1"/>
  <c r="D15" i="1"/>
  <c r="D16" i="1"/>
  <c r="D20" i="1"/>
  <c r="E27" i="23"/>
  <c r="D6" i="11"/>
  <c r="D8" i="11"/>
  <c r="D14" i="11"/>
  <c r="D15" i="11"/>
  <c r="D16" i="11"/>
  <c r="D20" i="11"/>
  <c r="D22" i="11"/>
  <c r="D23" i="11"/>
  <c r="D24" i="11"/>
  <c r="E22" i="23"/>
  <c r="D2" i="8"/>
  <c r="D6" i="8"/>
  <c r="D8" i="8"/>
  <c r="D14" i="8"/>
  <c r="D15" i="8"/>
  <c r="D19" i="8"/>
  <c r="D20" i="8"/>
  <c r="E33" i="23"/>
  <c r="D29" i="12"/>
  <c r="D6" i="13"/>
  <c r="D8" i="13"/>
  <c r="D14" i="13"/>
  <c r="D15" i="13"/>
  <c r="D19" i="13"/>
  <c r="D20" i="13"/>
  <c r="D22" i="13"/>
  <c r="D23" i="13"/>
  <c r="D24" i="13"/>
  <c r="D28" i="13"/>
  <c r="E21" i="23"/>
  <c r="D6" i="14"/>
  <c r="D8" i="14"/>
  <c r="D14" i="14"/>
  <c r="D15" i="14"/>
  <c r="D16" i="14"/>
  <c r="D17" i="14"/>
  <c r="D20" i="14"/>
  <c r="D22" i="14"/>
  <c r="D25" i="14"/>
  <c r="D28" i="14"/>
  <c r="D29" i="14"/>
  <c r="D30" i="14"/>
  <c r="E17" i="23"/>
  <c r="D6" i="15"/>
  <c r="D8" i="15"/>
  <c r="D14" i="15"/>
  <c r="D15" i="15"/>
  <c r="D19" i="15"/>
  <c r="D20" i="15"/>
  <c r="D22" i="15"/>
  <c r="D24" i="15"/>
  <c r="D28" i="15"/>
  <c r="D29" i="15"/>
  <c r="D30" i="15"/>
  <c r="E41" i="23"/>
  <c r="I6" i="12"/>
  <c r="I4" i="12"/>
  <c r="C35" i="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D37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E27" i="20"/>
  <c r="E28" i="20"/>
  <c r="E29" i="20"/>
  <c r="E30" i="20"/>
  <c r="E31" i="20"/>
  <c r="D3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D29" i="19"/>
  <c r="E26" i="19"/>
  <c r="E25" i="19"/>
  <c r="E24" i="19"/>
  <c r="D24" i="19"/>
  <c r="E23" i="19"/>
  <c r="E22" i="19"/>
  <c r="D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D29" i="18"/>
  <c r="E26" i="18"/>
  <c r="E25" i="18"/>
  <c r="D25" i="18"/>
  <c r="E24" i="18"/>
  <c r="D24" i="18"/>
  <c r="E23" i="18"/>
  <c r="D23" i="18"/>
  <c r="E22" i="18"/>
  <c r="D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D29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D28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B30" i="14"/>
  <c r="E30" i="14"/>
  <c r="B30" i="15"/>
  <c r="E30" i="15"/>
  <c r="E29" i="15"/>
  <c r="B29" i="15"/>
  <c r="E28" i="15"/>
  <c r="B28" i="15"/>
  <c r="E27" i="15"/>
  <c r="B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I6" i="15"/>
  <c r="E6" i="15"/>
  <c r="E5" i="15"/>
  <c r="I4" i="15"/>
  <c r="E4" i="15"/>
  <c r="E3" i="15"/>
  <c r="E2" i="15"/>
  <c r="B29" i="14"/>
  <c r="E29" i="14"/>
  <c r="E28" i="14"/>
  <c r="B28" i="14"/>
  <c r="E27" i="14"/>
  <c r="B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I6" i="14"/>
  <c r="E6" i="14"/>
  <c r="E5" i="14"/>
  <c r="I4" i="14"/>
  <c r="E4" i="14"/>
  <c r="E3" i="14"/>
  <c r="E2" i="14"/>
  <c r="E27" i="13"/>
  <c r="E28" i="13"/>
  <c r="B28" i="13"/>
  <c r="B27" i="13"/>
  <c r="I4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24" i="10"/>
  <c r="E25" i="10"/>
  <c r="E26" i="10"/>
  <c r="E21" i="3"/>
  <c r="E21" i="1"/>
  <c r="E21" i="4"/>
  <c r="E21" i="5"/>
  <c r="E21" i="6"/>
  <c r="E21" i="7"/>
  <c r="E21" i="8"/>
  <c r="E21" i="9"/>
  <c r="E21" i="10"/>
  <c r="E21" i="11"/>
  <c r="E21" i="2"/>
  <c r="E22" i="3"/>
  <c r="E22" i="1"/>
  <c r="E22" i="4"/>
  <c r="E22" i="5"/>
  <c r="E22" i="6"/>
  <c r="E22" i="7"/>
  <c r="E22" i="9"/>
  <c r="E22" i="10"/>
  <c r="E22" i="11"/>
  <c r="E22" i="2"/>
  <c r="F22" i="2"/>
  <c r="E23" i="3"/>
  <c r="E23" i="1"/>
  <c r="E23" i="4"/>
  <c r="E23" i="5"/>
  <c r="E23" i="6"/>
  <c r="E23" i="7"/>
  <c r="E23" i="9"/>
  <c r="E23" i="10"/>
  <c r="E23" i="11"/>
  <c r="E23" i="2"/>
  <c r="E24" i="3"/>
  <c r="E24" i="1"/>
  <c r="E24" i="4"/>
  <c r="E24" i="5"/>
  <c r="E24" i="6"/>
  <c r="E24" i="7"/>
  <c r="E24" i="9"/>
  <c r="E24" i="11"/>
  <c r="E24" i="2"/>
  <c r="F24" i="2"/>
  <c r="E25" i="3"/>
  <c r="E25" i="1"/>
  <c r="E25" i="4"/>
  <c r="E25" i="5"/>
  <c r="E25" i="6"/>
  <c r="E25" i="7"/>
  <c r="E25" i="9"/>
  <c r="E25" i="11"/>
  <c r="E25" i="2"/>
  <c r="F25" i="2"/>
  <c r="E26" i="3"/>
  <c r="E26" i="1"/>
  <c r="E26" i="4"/>
  <c r="E26" i="5"/>
  <c r="E26" i="6"/>
  <c r="E26" i="7"/>
  <c r="E26" i="9"/>
  <c r="E26" i="11"/>
  <c r="E26" i="2"/>
  <c r="F26" i="2"/>
  <c r="D22" i="1"/>
  <c r="D22" i="4"/>
  <c r="D24" i="4"/>
  <c r="D25" i="4"/>
  <c r="D22" i="6"/>
  <c r="D23" i="6"/>
  <c r="D24" i="6"/>
  <c r="D25" i="6"/>
  <c r="D22" i="7"/>
  <c r="D22" i="9"/>
  <c r="D23" i="9"/>
  <c r="E25" i="12"/>
  <c r="E26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D29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5" i="11"/>
  <c r="E4" i="11"/>
  <c r="E3" i="11"/>
  <c r="E2" i="11"/>
  <c r="E8" i="10"/>
  <c r="E10" i="10"/>
  <c r="E11" i="10"/>
  <c r="E12" i="10"/>
  <c r="E13" i="10"/>
  <c r="E14" i="10"/>
  <c r="E15" i="10"/>
  <c r="E16" i="10"/>
  <c r="E17" i="10"/>
  <c r="E18" i="10"/>
  <c r="E19" i="10"/>
  <c r="E20" i="10"/>
  <c r="E7" i="10"/>
  <c r="E5" i="10"/>
  <c r="E4" i="10"/>
  <c r="E3" i="10"/>
  <c r="E2" i="10"/>
  <c r="D29" i="9"/>
  <c r="E20" i="9"/>
  <c r="D20" i="9"/>
  <c r="E19" i="9"/>
  <c r="D19" i="9"/>
  <c r="E18" i="9"/>
  <c r="E17" i="9"/>
  <c r="E16" i="9"/>
  <c r="D16" i="9"/>
  <c r="E15" i="9"/>
  <c r="D15" i="9"/>
  <c r="E14" i="9"/>
  <c r="D14" i="9"/>
  <c r="E13" i="9"/>
  <c r="E12" i="9"/>
  <c r="E11" i="9"/>
  <c r="E10" i="9"/>
  <c r="E8" i="9"/>
  <c r="D8" i="9"/>
  <c r="E7" i="9"/>
  <c r="D6" i="9"/>
  <c r="E5" i="9"/>
  <c r="E4" i="9"/>
  <c r="E3" i="9"/>
  <c r="D3" i="9"/>
  <c r="E2" i="9"/>
  <c r="E20" i="3"/>
  <c r="E20" i="1"/>
  <c r="E20" i="4"/>
  <c r="E20" i="5"/>
  <c r="E20" i="6"/>
  <c r="E20" i="7"/>
  <c r="E20" i="8"/>
  <c r="E20" i="2"/>
  <c r="F20" i="2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5" i="8"/>
  <c r="E4" i="8"/>
  <c r="E3" i="8"/>
  <c r="E2" i="8"/>
  <c r="E19" i="7"/>
  <c r="E19" i="3"/>
  <c r="E19" i="1"/>
  <c r="E19" i="4"/>
  <c r="E19" i="5"/>
  <c r="E19" i="6"/>
  <c r="E19" i="2"/>
  <c r="F19" i="2"/>
  <c r="E18" i="7"/>
  <c r="E18" i="3"/>
  <c r="E18" i="1"/>
  <c r="E18" i="4"/>
  <c r="E18" i="5"/>
  <c r="E18" i="6"/>
  <c r="E18" i="2"/>
  <c r="E17" i="7"/>
  <c r="E17" i="3"/>
  <c r="E17" i="1"/>
  <c r="E17" i="4"/>
  <c r="E17" i="5"/>
  <c r="E17" i="6"/>
  <c r="E17" i="2"/>
  <c r="E16" i="7"/>
  <c r="E16" i="3"/>
  <c r="E16" i="1"/>
  <c r="E16" i="4"/>
  <c r="E16" i="5"/>
  <c r="E16" i="6"/>
  <c r="E16" i="2"/>
  <c r="E15" i="7"/>
  <c r="E15" i="3"/>
  <c r="E15" i="1"/>
  <c r="E15" i="4"/>
  <c r="E15" i="5"/>
  <c r="E15" i="6"/>
  <c r="E15" i="2"/>
  <c r="E14" i="7"/>
  <c r="E14" i="3"/>
  <c r="E14" i="1"/>
  <c r="E14" i="4"/>
  <c r="E14" i="5"/>
  <c r="E14" i="6"/>
  <c r="E14" i="2"/>
  <c r="E13" i="7"/>
  <c r="E13" i="3"/>
  <c r="E13" i="1"/>
  <c r="E13" i="4"/>
  <c r="E13" i="5"/>
  <c r="E13" i="6"/>
  <c r="E13" i="2"/>
  <c r="E12" i="7"/>
  <c r="E12" i="3"/>
  <c r="E12" i="1"/>
  <c r="E12" i="4"/>
  <c r="E12" i="5"/>
  <c r="E12" i="6"/>
  <c r="E12" i="2"/>
  <c r="E11" i="7"/>
  <c r="E11" i="3"/>
  <c r="E11" i="1"/>
  <c r="E11" i="4"/>
  <c r="E11" i="5"/>
  <c r="E11" i="6"/>
  <c r="E11" i="2"/>
  <c r="E10" i="7"/>
  <c r="E10" i="3"/>
  <c r="E10" i="1"/>
  <c r="E10" i="4"/>
  <c r="E10" i="5"/>
  <c r="E10" i="6"/>
  <c r="E9" i="7"/>
  <c r="E9" i="3"/>
  <c r="E9" i="1"/>
  <c r="E9" i="4"/>
  <c r="E9" i="5"/>
  <c r="E9" i="6"/>
  <c r="E9" i="2"/>
  <c r="E8" i="7"/>
  <c r="E8" i="3"/>
  <c r="E8" i="1"/>
  <c r="E8" i="4"/>
  <c r="E8" i="5"/>
  <c r="E8" i="6"/>
  <c r="E8" i="2"/>
  <c r="F8" i="2"/>
  <c r="E7" i="7"/>
  <c r="E7" i="3"/>
  <c r="E7" i="1"/>
  <c r="E7" i="4"/>
  <c r="E7" i="5"/>
  <c r="E7" i="6"/>
  <c r="E7" i="2"/>
  <c r="E5" i="7"/>
  <c r="E5" i="3"/>
  <c r="E5" i="1"/>
  <c r="E5" i="4"/>
  <c r="E5" i="5"/>
  <c r="E5" i="6"/>
  <c r="E5" i="2"/>
  <c r="E4" i="7"/>
  <c r="E4" i="3"/>
  <c r="E4" i="1"/>
  <c r="E4" i="4"/>
  <c r="E4" i="5"/>
  <c r="E4" i="6"/>
  <c r="E4" i="2"/>
  <c r="F4" i="2"/>
  <c r="E3" i="7"/>
  <c r="E3" i="3"/>
  <c r="E3" i="1"/>
  <c r="E3" i="4"/>
  <c r="E3" i="5"/>
  <c r="E3" i="6"/>
  <c r="E3" i="2"/>
  <c r="E2" i="7"/>
  <c r="E2" i="3"/>
  <c r="E2" i="1"/>
  <c r="E2" i="4"/>
  <c r="E2" i="5"/>
  <c r="E2" i="6"/>
  <c r="E2" i="2"/>
  <c r="D29" i="8"/>
  <c r="D29" i="7"/>
  <c r="D29" i="6"/>
  <c r="D29" i="5"/>
  <c r="D29" i="3"/>
  <c r="D29" i="4"/>
  <c r="D29" i="1"/>
  <c r="F14" i="2"/>
  <c r="F15" i="2"/>
  <c r="I6" i="13"/>
  <c r="D2" i="14"/>
  <c r="D26" i="37"/>
  <c r="D26" i="36"/>
  <c r="D26" i="38"/>
  <c r="D26" i="39"/>
  <c r="D26" i="35"/>
  <c r="D26" i="31"/>
  <c r="D26" i="32"/>
  <c r="D26" i="34"/>
  <c r="D26" i="30"/>
  <c r="D26" i="24"/>
  <c r="D26" i="9"/>
  <c r="D26" i="6"/>
  <c r="D26" i="15"/>
  <c r="D26" i="12"/>
  <c r="D26" i="28"/>
  <c r="D26" i="4"/>
  <c r="D26" i="18"/>
  <c r="D26" i="19"/>
  <c r="D26" i="14"/>
  <c r="D26" i="20"/>
  <c r="D26" i="22"/>
  <c r="D26" i="5"/>
  <c r="D26" i="27"/>
  <c r="D4" i="31"/>
  <c r="D20" i="37"/>
  <c r="D20" i="35"/>
  <c r="D20" i="36"/>
  <c r="D20" i="39"/>
  <c r="D20" i="38"/>
  <c r="D20" i="34"/>
  <c r="D20" i="32"/>
  <c r="D20" i="33"/>
  <c r="D20" i="31"/>
  <c r="D20" i="30"/>
  <c r="D10" i="30"/>
  <c r="D3" i="31"/>
  <c r="D3" i="33"/>
  <c r="D3" i="30"/>
  <c r="D3" i="5"/>
  <c r="D3" i="11"/>
  <c r="D3" i="12"/>
  <c r="D3" i="6"/>
  <c r="D3" i="28"/>
  <c r="D18" i="15"/>
  <c r="D18" i="10"/>
  <c r="D24" i="20"/>
  <c r="D24" i="21"/>
  <c r="D24" i="12"/>
  <c r="D24" i="5"/>
  <c r="D24" i="34"/>
  <c r="D24" i="32"/>
  <c r="D24" i="31"/>
  <c r="D24" i="30"/>
  <c r="D24" i="9"/>
  <c r="D24" i="1"/>
  <c r="D24" i="14"/>
  <c r="D24" i="7"/>
  <c r="D17" i="9"/>
  <c r="D17" i="11"/>
  <c r="D12" i="34"/>
  <c r="D12" i="20"/>
  <c r="D12" i="15"/>
  <c r="D12" i="21"/>
  <c r="D12" i="28"/>
  <c r="D2" i="32"/>
  <c r="D2" i="5"/>
  <c r="D2" i="21"/>
  <c r="D2" i="13"/>
  <c r="D8" i="30"/>
  <c r="D31" i="20"/>
  <c r="D2" i="20"/>
  <c r="D3" i="20"/>
  <c r="D4" i="20"/>
  <c r="D5" i="20"/>
  <c r="D7" i="20"/>
  <c r="D16" i="20"/>
  <c r="D18" i="20"/>
  <c r="D21" i="20"/>
  <c r="D23" i="20"/>
  <c r="D25" i="20"/>
  <c r="D16" i="7"/>
  <c r="D16" i="12"/>
  <c r="D16" i="10"/>
  <c r="D16" i="28"/>
  <c r="F16" i="2"/>
  <c r="D16" i="15"/>
  <c r="D16" i="13"/>
  <c r="D3" i="13"/>
  <c r="D4" i="13"/>
  <c r="D5" i="13"/>
  <c r="D7" i="13"/>
  <c r="D9" i="13"/>
  <c r="D12" i="13"/>
  <c r="D18" i="13"/>
  <c r="D25" i="13"/>
  <c r="D26" i="13"/>
  <c r="D27" i="13"/>
  <c r="D16" i="8"/>
  <c r="D16" i="22"/>
  <c r="D16" i="17"/>
  <c r="D31" i="19"/>
  <c r="D26" i="64"/>
  <c r="D26" i="62"/>
  <c r="D27" i="63"/>
  <c r="D26" i="60"/>
  <c r="D26" i="59"/>
  <c r="D5" i="58"/>
  <c r="E5" i="58"/>
  <c r="D21" i="64"/>
  <c r="D2" i="64"/>
  <c r="D5" i="64"/>
  <c r="D7" i="64"/>
  <c r="D16" i="64"/>
  <c r="D18" i="64"/>
  <c r="D22" i="63"/>
  <c r="D21" i="60"/>
  <c r="D18" i="62"/>
  <c r="D19" i="63"/>
  <c r="D18" i="60"/>
  <c r="D18" i="59"/>
  <c r="D18" i="22"/>
  <c r="D18" i="28"/>
  <c r="F18" i="2"/>
  <c r="D18" i="9"/>
  <c r="D18" i="33"/>
  <c r="D18" i="21"/>
  <c r="D18" i="5"/>
  <c r="D18" i="11"/>
  <c r="D18" i="27"/>
  <c r="D18" i="19"/>
  <c r="D18" i="14"/>
  <c r="D18" i="40"/>
  <c r="D16" i="62"/>
  <c r="D17" i="63"/>
  <c r="D16" i="60"/>
  <c r="D16" i="59"/>
  <c r="D16" i="34"/>
  <c r="D16" i="38"/>
  <c r="D16" i="35"/>
  <c r="D16" i="37"/>
  <c r="D3" i="32"/>
  <c r="D4" i="32"/>
  <c r="D5" i="32"/>
  <c r="D7" i="32"/>
  <c r="D8" i="32"/>
  <c r="D12" i="32"/>
  <c r="D13" i="32"/>
  <c r="D18" i="32"/>
  <c r="F11" i="2"/>
  <c r="D2" i="1"/>
  <c r="D4" i="1"/>
  <c r="D5" i="1"/>
  <c r="D7" i="1"/>
  <c r="D12" i="1"/>
  <c r="D13" i="1"/>
  <c r="D18" i="1"/>
  <c r="D7" i="37"/>
  <c r="D8" i="63"/>
  <c r="D7" i="62"/>
  <c r="D7" i="60"/>
  <c r="D7" i="59"/>
  <c r="D5" i="62"/>
  <c r="D6" i="63"/>
  <c r="D5" i="60"/>
  <c r="D5" i="59"/>
  <c r="D2" i="63"/>
  <c r="D2" i="62"/>
  <c r="D2" i="60"/>
  <c r="D2" i="59"/>
  <c r="E10" i="2"/>
  <c r="F10" i="2"/>
  <c r="D6" i="46"/>
  <c r="D6" i="44"/>
  <c r="D5" i="57"/>
  <c r="E5" i="57"/>
  <c r="D5" i="56"/>
  <c r="E5" i="56"/>
  <c r="D26" i="54"/>
  <c r="D26" i="52"/>
  <c r="D26" i="50"/>
  <c r="D26" i="48"/>
  <c r="D25" i="54"/>
  <c r="D25" i="52"/>
  <c r="D25" i="51"/>
  <c r="D25" i="50"/>
  <c r="D25" i="48"/>
  <c r="D25" i="46"/>
  <c r="D25" i="45"/>
  <c r="D25" i="44"/>
  <c r="D24" i="40"/>
  <c r="D24" i="54"/>
  <c r="D24" i="52"/>
  <c r="D24" i="51"/>
  <c r="D24" i="50"/>
  <c r="D24" i="48"/>
  <c r="D23" i="54"/>
  <c r="D23" i="52"/>
  <c r="D23" i="51"/>
  <c r="D23" i="50"/>
  <c r="D23" i="48"/>
  <c r="D22" i="54"/>
  <c r="D22" i="52"/>
  <c r="D22" i="51"/>
  <c r="D22" i="50"/>
  <c r="D22" i="48"/>
  <c r="D22" i="46"/>
  <c r="D22" i="45"/>
  <c r="D22" i="44"/>
  <c r="D22" i="43"/>
  <c r="D22" i="42"/>
  <c r="D19" i="50"/>
  <c r="D19" i="46"/>
  <c r="D19" i="45"/>
  <c r="D19" i="44"/>
  <c r="D18" i="54"/>
  <c r="D18" i="51"/>
  <c r="D18" i="50"/>
  <c r="D18" i="48"/>
  <c r="D16" i="54"/>
  <c r="D16" i="51"/>
  <c r="D16" i="50"/>
  <c r="D16" i="48"/>
  <c r="D16" i="46"/>
  <c r="D16" i="45"/>
  <c r="D16" i="44"/>
  <c r="D16" i="43"/>
  <c r="D16" i="42"/>
  <c r="D15" i="54"/>
  <c r="D15" i="51"/>
  <c r="D15" i="50"/>
  <c r="D15" i="48"/>
  <c r="D15" i="46"/>
  <c r="D15" i="45"/>
  <c r="D15" i="44"/>
  <c r="D15" i="43"/>
  <c r="D15" i="42"/>
  <c r="D14" i="54"/>
  <c r="D14" i="51"/>
  <c r="D14" i="50"/>
  <c r="D14" i="48"/>
  <c r="D14" i="46"/>
  <c r="D14" i="45"/>
  <c r="D14" i="44"/>
  <c r="D14" i="43"/>
  <c r="D14" i="42"/>
  <c r="D13" i="54"/>
  <c r="D13" i="51"/>
  <c r="D13" i="48"/>
  <c r="D10" i="48"/>
  <c r="D9" i="51"/>
  <c r="D2" i="51"/>
  <c r="D3" i="51"/>
  <c r="D4" i="51"/>
  <c r="D5" i="51"/>
  <c r="D7" i="51"/>
  <c r="D8" i="51"/>
  <c r="D12" i="51"/>
  <c r="D17" i="51"/>
  <c r="D20" i="51"/>
  <c r="D8" i="54"/>
  <c r="D8" i="50"/>
  <c r="D8" i="48"/>
  <c r="D4" i="38"/>
  <c r="D4" i="54"/>
  <c r="D4" i="50"/>
  <c r="D4" i="48"/>
  <c r="D3" i="54"/>
  <c r="D2" i="54"/>
  <c r="D5" i="54"/>
  <c r="D7" i="54"/>
  <c r="D12" i="54"/>
  <c r="D20" i="54"/>
  <c r="D3" i="50"/>
  <c r="D3" i="48"/>
  <c r="D2" i="35"/>
  <c r="D2" i="50"/>
  <c r="D12" i="48"/>
  <c r="D12" i="50"/>
  <c r="D12" i="46"/>
  <c r="D12" i="45"/>
  <c r="D12" i="44"/>
  <c r="D5" i="50"/>
  <c r="D7" i="50"/>
  <c r="D20" i="50"/>
  <c r="D5" i="30"/>
  <c r="D5" i="48"/>
  <c r="D20" i="28"/>
  <c r="D20" i="48"/>
  <c r="D7" i="7"/>
  <c r="D7" i="28"/>
  <c r="D7" i="5"/>
  <c r="D7" i="48"/>
  <c r="D24" i="46"/>
  <c r="D24" i="45"/>
  <c r="D24" i="44"/>
  <c r="D24" i="42"/>
  <c r="D24" i="43"/>
  <c r="D23" i="46"/>
  <c r="D23" i="45"/>
  <c r="D23" i="44"/>
  <c r="D23" i="43"/>
  <c r="D23" i="42"/>
  <c r="D23" i="27"/>
  <c r="D23" i="14"/>
  <c r="D23" i="12"/>
  <c r="D23" i="35"/>
  <c r="D23" i="17"/>
  <c r="D23" i="33"/>
  <c r="D23" i="39"/>
  <c r="D23" i="7"/>
  <c r="D23" i="4"/>
  <c r="D23" i="15"/>
  <c r="F23" i="2"/>
  <c r="D23" i="19"/>
  <c r="D23" i="21"/>
  <c r="D23" i="5"/>
  <c r="D23" i="30"/>
  <c r="D23" i="37"/>
  <c r="D23" i="38"/>
  <c r="D23" i="1"/>
  <c r="D23" i="34"/>
  <c r="D23" i="36"/>
  <c r="D18" i="46"/>
  <c r="D18" i="45"/>
  <c r="D18" i="44"/>
  <c r="D18" i="42"/>
  <c r="D18" i="43"/>
  <c r="D18" i="24"/>
  <c r="D18" i="30"/>
  <c r="D18" i="7"/>
  <c r="D18" i="36"/>
  <c r="D18" i="37"/>
  <c r="D18" i="39"/>
  <c r="D18" i="8"/>
  <c r="D18" i="4"/>
  <c r="D18" i="38"/>
  <c r="D18" i="17"/>
  <c r="D18" i="31"/>
  <c r="D18" i="12"/>
  <c r="D18" i="6"/>
  <c r="D18" i="35"/>
  <c r="D17" i="43"/>
  <c r="D7" i="10"/>
  <c r="D7" i="36"/>
  <c r="D7" i="39"/>
  <c r="F7" i="2"/>
  <c r="D7" i="15"/>
  <c r="D7" i="12"/>
  <c r="D7" i="4"/>
  <c r="D7" i="38"/>
  <c r="D7" i="33"/>
  <c r="D7" i="22"/>
  <c r="D7" i="35"/>
  <c r="D7" i="6"/>
  <c r="D7" i="9"/>
  <c r="D7" i="8"/>
  <c r="D7" i="11"/>
  <c r="D7" i="19"/>
  <c r="D7" i="46"/>
  <c r="D7" i="45"/>
  <c r="D7" i="44"/>
  <c r="D7" i="30"/>
  <c r="D7" i="14"/>
  <c r="D7" i="21"/>
  <c r="D7" i="27"/>
  <c r="D7" i="17"/>
  <c r="D7" i="24"/>
  <c r="D7" i="31"/>
  <c r="D7" i="34"/>
  <c r="D7" i="40"/>
  <c r="D27" i="15"/>
  <c r="D27" i="14"/>
  <c r="D27" i="28"/>
  <c r="D10" i="21"/>
  <c r="D10" i="4"/>
  <c r="D2" i="46"/>
  <c r="D3" i="46"/>
  <c r="D4" i="46"/>
  <c r="D5" i="46"/>
  <c r="D8" i="46"/>
  <c r="D13" i="46"/>
  <c r="D20" i="46"/>
  <c r="D26" i="46"/>
  <c r="D8" i="40"/>
  <c r="D8" i="45"/>
  <c r="D8" i="44"/>
  <c r="D8" i="36"/>
  <c r="D5" i="27"/>
  <c r="D5" i="5"/>
  <c r="D5" i="10"/>
  <c r="D5" i="33"/>
  <c r="D5" i="21"/>
  <c r="D5" i="7"/>
  <c r="F5" i="2"/>
  <c r="D5" i="17"/>
  <c r="D5" i="38"/>
  <c r="D5" i="40"/>
  <c r="D5" i="24"/>
  <c r="D5" i="11"/>
  <c r="D5" i="39"/>
  <c r="D5" i="31"/>
  <c r="D5" i="9"/>
  <c r="D5" i="22"/>
  <c r="D5" i="45"/>
  <c r="D5" i="44"/>
  <c r="D5" i="43"/>
  <c r="D5" i="42"/>
  <c r="D5" i="12"/>
  <c r="D5" i="19"/>
  <c r="D5" i="35"/>
  <c r="D5" i="36"/>
  <c r="D5" i="8"/>
  <c r="D5" i="15"/>
  <c r="D5" i="14"/>
  <c r="D5" i="6"/>
  <c r="D5" i="4"/>
  <c r="D5" i="28"/>
  <c r="D5" i="34"/>
  <c r="D5" i="37"/>
  <c r="D26" i="45"/>
  <c r="D26" i="44"/>
  <c r="D26" i="43"/>
  <c r="D26" i="42"/>
  <c r="D26" i="17"/>
  <c r="D26" i="1"/>
  <c r="D26" i="40"/>
  <c r="D21" i="44"/>
  <c r="D20" i="27"/>
  <c r="D20" i="45"/>
  <c r="D20" i="44"/>
  <c r="D4" i="40"/>
  <c r="D4" i="45"/>
  <c r="D4" i="44"/>
  <c r="D4" i="43"/>
  <c r="D4" i="42"/>
  <c r="D4" i="11"/>
  <c r="D4" i="17"/>
  <c r="D4" i="6"/>
  <c r="D4" i="21"/>
  <c r="D4" i="7"/>
  <c r="D13" i="45"/>
  <c r="D3" i="45"/>
  <c r="D3" i="44"/>
  <c r="D2" i="40"/>
  <c r="D2" i="45"/>
  <c r="D2" i="44"/>
  <c r="D2" i="43"/>
  <c r="D2" i="42"/>
  <c r="D2" i="30"/>
  <c r="D2" i="31"/>
  <c r="D2" i="11"/>
  <c r="D2" i="15"/>
  <c r="D2" i="37"/>
  <c r="D2" i="28"/>
  <c r="D2" i="4"/>
  <c r="D2" i="7"/>
  <c r="D2" i="34"/>
  <c r="D2" i="10"/>
  <c r="F2" i="2"/>
  <c r="D2" i="33"/>
  <c r="D2" i="19"/>
  <c r="D2" i="22"/>
  <c r="D2" i="6"/>
  <c r="D2" i="9"/>
  <c r="D2" i="17"/>
  <c r="D2" i="39"/>
  <c r="D9" i="24"/>
  <c r="D2" i="24"/>
  <c r="D4" i="24"/>
  <c r="D12" i="24"/>
  <c r="D25" i="24"/>
  <c r="D21" i="40"/>
  <c r="D21" i="43"/>
  <c r="D25" i="43"/>
  <c r="D25" i="42"/>
  <c r="D25" i="7"/>
  <c r="D25" i="1"/>
  <c r="D25" i="12"/>
  <c r="D25" i="5"/>
  <c r="D25" i="31"/>
  <c r="D25" i="32"/>
  <c r="D25" i="39"/>
  <c r="D25" i="9"/>
  <c r="D25" i="19"/>
  <c r="D25" i="15"/>
  <c r="D25" i="17"/>
  <c r="D25" i="28"/>
  <c r="D25" i="35"/>
  <c r="D25" i="38"/>
  <c r="D20" i="40"/>
  <c r="D20" i="43"/>
  <c r="D20" i="42"/>
  <c r="D13" i="40"/>
  <c r="D13" i="43"/>
  <c r="D13" i="42"/>
  <c r="D12" i="39"/>
  <c r="D12" i="42"/>
  <c r="D12" i="43"/>
  <c r="D12" i="27"/>
  <c r="D12" i="12"/>
  <c r="D12" i="6"/>
  <c r="D12" i="31"/>
  <c r="D12" i="36"/>
  <c r="D12" i="37"/>
  <c r="D12" i="4"/>
  <c r="D12" i="8"/>
  <c r="F12" i="2"/>
  <c r="D12" i="10"/>
  <c r="D12" i="35"/>
  <c r="D12" i="11"/>
  <c r="D12" i="22"/>
  <c r="D12" i="14"/>
  <c r="D12" i="30"/>
  <c r="D12" i="33"/>
  <c r="D12" i="9"/>
  <c r="D12" i="19"/>
  <c r="D12" i="17"/>
  <c r="D12" i="40"/>
  <c r="D9" i="5"/>
  <c r="D4" i="5"/>
  <c r="D21" i="5"/>
  <c r="D7" i="43"/>
  <c r="D7" i="42"/>
  <c r="D3" i="42"/>
  <c r="D3" i="43"/>
  <c r="D3" i="27"/>
  <c r="D3" i="8"/>
  <c r="D3" i="34"/>
  <c r="D3" i="4"/>
  <c r="D3" i="35"/>
  <c r="D3" i="10"/>
  <c r="D3" i="15"/>
  <c r="D3" i="14"/>
  <c r="F3" i="2"/>
  <c r="D3" i="21"/>
  <c r="D3" i="22"/>
  <c r="D8" i="34"/>
  <c r="D8" i="35"/>
  <c r="D8" i="39"/>
  <c r="D8" i="43"/>
  <c r="D8" i="42"/>
  <c r="D21" i="36"/>
  <c r="D13" i="31"/>
  <c r="D31" i="31"/>
  <c r="D4" i="4"/>
  <c r="D13" i="4"/>
  <c r="D9" i="12"/>
  <c r="D4" i="12"/>
  <c r="D13" i="12"/>
  <c r="D9" i="30"/>
  <c r="D4" i="19"/>
  <c r="D4" i="30"/>
  <c r="D4" i="37"/>
  <c r="D4" i="10"/>
  <c r="D4" i="8"/>
  <c r="D4" i="34"/>
  <c r="D4" i="35"/>
  <c r="D4" i="39"/>
  <c r="D4" i="28"/>
  <c r="D4" i="22"/>
  <c r="D4" i="33"/>
  <c r="D4" i="9"/>
  <c r="D4" i="27"/>
  <c r="D4" i="14"/>
  <c r="D4" i="15"/>
  <c r="D4" i="36"/>
  <c r="F13" i="2"/>
  <c r="D13" i="34"/>
  <c r="D13" i="37"/>
  <c r="D13" i="19"/>
  <c r="D13" i="21"/>
  <c r="D13" i="36"/>
  <c r="D13" i="38"/>
  <c r="D13" i="9"/>
  <c r="D13" i="15"/>
  <c r="D13" i="8"/>
  <c r="D13" i="6"/>
  <c r="D13" i="27"/>
  <c r="D13" i="28"/>
  <c r="D2" i="36"/>
  <c r="D2" i="38"/>
  <c r="D21" i="17"/>
  <c r="D21" i="35"/>
  <c r="D21" i="38"/>
  <c r="D21" i="34"/>
  <c r="D21" i="27"/>
  <c r="D2" i="27"/>
  <c r="D31" i="3"/>
  <c r="D31" i="11"/>
  <c r="D26" i="72"/>
  <c r="D26" i="71"/>
  <c r="D25" i="71"/>
  <c r="D24" i="72"/>
  <c r="D24" i="71"/>
  <c r="D23" i="72"/>
  <c r="D23" i="71"/>
  <c r="D22" i="72"/>
  <c r="D22" i="71"/>
  <c r="D20" i="72"/>
  <c r="D20" i="71"/>
  <c r="D19" i="72"/>
  <c r="D19" i="71"/>
  <c r="D18" i="72"/>
  <c r="D18" i="71"/>
  <c r="D16" i="72"/>
  <c r="D16" i="71"/>
  <c r="D15" i="72"/>
  <c r="D15" i="71"/>
  <c r="D14" i="72"/>
  <c r="D14" i="71"/>
  <c r="D13" i="72"/>
  <c r="D13" i="71"/>
  <c r="D12" i="72"/>
  <c r="D12" i="71"/>
  <c r="D8" i="72"/>
  <c r="D8" i="71"/>
  <c r="D7" i="72"/>
  <c r="D7" i="71"/>
  <c r="D5" i="72"/>
  <c r="D5" i="71"/>
  <c r="D4" i="72"/>
  <c r="D4" i="71"/>
  <c r="D3" i="72"/>
  <c r="D3" i="71"/>
  <c r="D2" i="72"/>
  <c r="D2" i="71"/>
  <c r="D16" i="74"/>
  <c r="D3" i="52"/>
  <c r="D3" i="18"/>
  <c r="D3" i="63"/>
  <c r="D9" i="17"/>
  <c r="D9" i="19"/>
  <c r="D9" i="34"/>
  <c r="D9" i="6"/>
  <c r="D9" i="50"/>
  <c r="D9" i="62"/>
  <c r="D9" i="64"/>
  <c r="D9" i="61"/>
  <c r="D9" i="78"/>
  <c r="D9" i="81"/>
  <c r="D9" i="36"/>
  <c r="D9" i="22"/>
  <c r="D9" i="45"/>
  <c r="D9" i="60"/>
  <c r="D10" i="63"/>
  <c r="D9" i="77"/>
  <c r="D9" i="27"/>
  <c r="D9" i="74"/>
  <c r="D9" i="33"/>
  <c r="D9" i="35"/>
  <c r="D9" i="31"/>
  <c r="D9" i="38"/>
  <c r="D9" i="42"/>
  <c r="D10" i="70"/>
  <c r="D9" i="66"/>
  <c r="D9" i="54"/>
  <c r="D9" i="71"/>
  <c r="D9" i="8"/>
  <c r="D9" i="21"/>
  <c r="D9" i="4"/>
  <c r="D9" i="37"/>
  <c r="D9" i="43"/>
  <c r="D9" i="46"/>
  <c r="D9" i="20"/>
  <c r="D9" i="16"/>
  <c r="D9" i="15"/>
  <c r="D9" i="72"/>
  <c r="F9" i="2"/>
  <c r="D9" i="28"/>
  <c r="D9" i="14"/>
  <c r="D9" i="40"/>
  <c r="D9" i="1"/>
  <c r="D9" i="65"/>
  <c r="D9" i="55"/>
  <c r="D9" i="18"/>
  <c r="D9" i="79"/>
  <c r="D9" i="44"/>
  <c r="D9" i="7"/>
  <c r="D9" i="39"/>
  <c r="D9" i="11"/>
  <c r="D9" i="48"/>
  <c r="D9" i="32"/>
  <c r="D9" i="59"/>
  <c r="D9" i="52"/>
  <c r="D12" i="89"/>
  <c r="D12" i="88"/>
  <c r="D26" i="81"/>
  <c r="D27" i="89"/>
  <c r="D27" i="88"/>
  <c r="D26" i="89"/>
  <c r="D26" i="88"/>
  <c r="D20" i="89"/>
  <c r="D20" i="88"/>
  <c r="D19" i="89"/>
  <c r="D19" i="88"/>
  <c r="D17" i="89"/>
  <c r="D17" i="88"/>
  <c r="D13" i="78"/>
  <c r="D13" i="89"/>
  <c r="D13" i="88"/>
  <c r="D11" i="60"/>
  <c r="D11" i="89"/>
  <c r="D11" i="88"/>
  <c r="D9" i="89"/>
  <c r="D9" i="88"/>
  <c r="D8" i="89"/>
  <c r="D8" i="88"/>
  <c r="D7" i="89"/>
  <c r="D7" i="88"/>
  <c r="D4" i="89"/>
  <c r="D4" i="88"/>
  <c r="D3" i="3"/>
  <c r="D3" i="89"/>
  <c r="D3" i="88"/>
  <c r="D2" i="3"/>
  <c r="D2" i="89"/>
  <c r="D2" i="88"/>
  <c r="D21" i="3"/>
  <c r="D21" i="89"/>
  <c r="D21" i="88"/>
  <c r="D27" i="87"/>
  <c r="D27" i="84"/>
  <c r="D27" i="83"/>
  <c r="D24" i="87"/>
  <c r="D24" i="86"/>
  <c r="D24" i="85"/>
  <c r="D24" i="84"/>
  <c r="D24" i="83"/>
  <c r="D22" i="87"/>
  <c r="D22" i="86"/>
  <c r="D22" i="85"/>
  <c r="D22" i="84"/>
  <c r="D22" i="83"/>
  <c r="D20" i="87"/>
  <c r="D20" i="86"/>
  <c r="D20" i="85"/>
  <c r="D20" i="84"/>
  <c r="D20" i="83"/>
  <c r="D18" i="87"/>
  <c r="D18" i="86"/>
  <c r="D18" i="85"/>
  <c r="D18" i="84"/>
  <c r="D18" i="83"/>
  <c r="D16" i="87"/>
  <c r="D16" i="86"/>
  <c r="D16" i="85"/>
  <c r="D16" i="84"/>
  <c r="D16" i="83"/>
  <c r="D15" i="87"/>
  <c r="D15" i="86"/>
  <c r="D15" i="85"/>
  <c r="D15" i="84"/>
  <c r="D15" i="83"/>
  <c r="D9" i="87"/>
  <c r="D9" i="86"/>
  <c r="D9" i="85"/>
  <c r="D9" i="84"/>
  <c r="D9" i="83"/>
  <c r="D8" i="87"/>
  <c r="D8" i="86"/>
  <c r="D8" i="85"/>
  <c r="D8" i="84"/>
  <c r="D8" i="83"/>
  <c r="D7" i="87"/>
  <c r="D7" i="86"/>
  <c r="D7" i="85"/>
  <c r="D7" i="84"/>
  <c r="D7" i="83"/>
  <c r="D27" i="60"/>
  <c r="D26" i="55"/>
  <c r="D27" i="79"/>
  <c r="D26" i="61"/>
  <c r="D27" i="78"/>
  <c r="D27" i="66"/>
  <c r="D7" i="53"/>
  <c r="E7" i="53"/>
  <c r="D26" i="74"/>
  <c r="D26" i="84"/>
  <c r="D26" i="83"/>
  <c r="D26" i="86"/>
  <c r="D26" i="85"/>
  <c r="D26" i="87"/>
  <c r="D27" i="77"/>
  <c r="D27" i="80"/>
  <c r="D25" i="83"/>
  <c r="D25" i="84"/>
  <c r="D25" i="87"/>
  <c r="D25" i="86"/>
  <c r="D25" i="85"/>
  <c r="D25" i="81"/>
  <c r="D21" i="37"/>
  <c r="D21" i="28"/>
  <c r="D21" i="10"/>
  <c r="D21" i="31"/>
  <c r="D21" i="42"/>
  <c r="D21" i="45"/>
  <c r="D21" i="54"/>
  <c r="D21" i="62"/>
  <c r="D21" i="66"/>
  <c r="D21" i="71"/>
  <c r="D21" i="8"/>
  <c r="D21" i="14"/>
  <c r="D21" i="21"/>
  <c r="D21" i="7"/>
  <c r="D21" i="67"/>
  <c r="D21" i="79"/>
  <c r="D21" i="15"/>
  <c r="F21" i="2"/>
  <c r="D21" i="11"/>
  <c r="D21" i="24"/>
  <c r="D21" i="65"/>
  <c r="D21" i="72"/>
  <c r="D21" i="19"/>
  <c r="D21" i="6"/>
  <c r="D21" i="33"/>
  <c r="D21" i="4"/>
  <c r="D21" i="50"/>
  <c r="D21" i="16"/>
  <c r="D21" i="78"/>
  <c r="D21" i="32"/>
  <c r="D21" i="18"/>
  <c r="D21" i="46"/>
  <c r="D21" i="48"/>
  <c r="D21" i="51"/>
  <c r="D21" i="22"/>
  <c r="D21" i="74"/>
  <c r="D21" i="77"/>
  <c r="D21" i="9"/>
  <c r="D21" i="30"/>
  <c r="D21" i="1"/>
  <c r="D21" i="39"/>
  <c r="D21" i="12"/>
  <c r="D21" i="52"/>
  <c r="D21" i="59"/>
  <c r="D21" i="13"/>
  <c r="D21" i="55"/>
  <c r="D17" i="86"/>
  <c r="D17" i="85"/>
  <c r="D17" i="84"/>
  <c r="D17" i="83"/>
  <c r="D17" i="87"/>
  <c r="D17" i="44"/>
  <c r="D17" i="27"/>
  <c r="D17" i="71"/>
  <c r="D17" i="46"/>
  <c r="D17" i="6"/>
  <c r="D17" i="33"/>
  <c r="D17" i="38"/>
  <c r="D17" i="18"/>
  <c r="D17" i="81"/>
  <c r="F17" i="2"/>
  <c r="D17" i="61"/>
  <c r="D17" i="24"/>
  <c r="D17" i="72"/>
  <c r="D17" i="39"/>
  <c r="D17" i="5"/>
  <c r="D17" i="22"/>
  <c r="D17" i="34"/>
  <c r="D17" i="36"/>
  <c r="D17" i="59"/>
  <c r="D17" i="78"/>
  <c r="D17" i="54"/>
  <c r="D17" i="28"/>
  <c r="D17" i="67"/>
  <c r="D17" i="52"/>
  <c r="D17" i="30"/>
  <c r="D17" i="7"/>
  <c r="D17" i="50"/>
  <c r="D17" i="12"/>
  <c r="D17" i="19"/>
  <c r="D17" i="31"/>
  <c r="D17" i="8"/>
  <c r="D17" i="10"/>
  <c r="D18" i="63"/>
  <c r="D17" i="55"/>
  <c r="D17" i="25"/>
  <c r="D17" i="77"/>
  <c r="D17" i="79"/>
  <c r="D17" i="35"/>
  <c r="D17" i="60"/>
  <c r="D17" i="45"/>
  <c r="D17" i="4"/>
  <c r="D17" i="16"/>
  <c r="D17" i="65"/>
  <c r="D17" i="48"/>
  <c r="D17" i="17"/>
  <c r="D17" i="13"/>
  <c r="D17" i="32"/>
  <c r="D18" i="70"/>
  <c r="D17" i="80"/>
  <c r="D17" i="42"/>
  <c r="D17" i="20"/>
  <c r="D17" i="15"/>
  <c r="D17" i="1"/>
  <c r="D17" i="21"/>
  <c r="D17" i="37"/>
  <c r="D17" i="62"/>
  <c r="D17" i="74"/>
  <c r="D17" i="3"/>
  <c r="D13" i="80"/>
  <c r="D13" i="25"/>
  <c r="D13" i="79"/>
  <c r="D13" i="84"/>
  <c r="D13" i="87"/>
  <c r="D13" i="86"/>
  <c r="D13" i="83"/>
  <c r="D13" i="85"/>
  <c r="D12" i="84"/>
  <c r="D12" i="86"/>
  <c r="D12" i="83"/>
  <c r="D12" i="85"/>
  <c r="D12" i="87"/>
  <c r="D12" i="78"/>
  <c r="D11" i="50"/>
  <c r="D11" i="3"/>
  <c r="D11" i="11"/>
  <c r="D11" i="44"/>
  <c r="D11" i="7"/>
  <c r="D11" i="13"/>
  <c r="D11" i="45"/>
  <c r="D11" i="22"/>
  <c r="D11" i="35"/>
  <c r="D11" i="54"/>
  <c r="D11" i="51"/>
  <c r="D11" i="59"/>
  <c r="D11" i="39"/>
  <c r="D11" i="37"/>
  <c r="D5" i="77"/>
  <c r="D5" i="87"/>
  <c r="D5" i="83"/>
  <c r="D5" i="86"/>
  <c r="D5" i="85"/>
  <c r="D5" i="84"/>
  <c r="D5" i="80"/>
  <c r="D4" i="87"/>
  <c r="D4" i="83"/>
  <c r="D4" i="84"/>
  <c r="D4" i="85"/>
  <c r="D4" i="86"/>
  <c r="D4" i="78"/>
  <c r="D3" i="55"/>
  <c r="D3" i="64"/>
  <c r="D3" i="66"/>
  <c r="D3" i="80"/>
  <c r="D3" i="81"/>
  <c r="D3" i="67"/>
  <c r="D3" i="78"/>
  <c r="D3" i="39"/>
  <c r="D3" i="60"/>
  <c r="D4" i="63"/>
  <c r="D4" i="70"/>
  <c r="D3" i="74"/>
  <c r="D3" i="84"/>
  <c r="D3" i="85"/>
  <c r="D3" i="86"/>
  <c r="D3" i="87"/>
  <c r="D3" i="83"/>
  <c r="D3" i="65"/>
  <c r="D3" i="79"/>
  <c r="D23" i="74"/>
  <c r="D23" i="83"/>
  <c r="D23" i="85"/>
  <c r="D23" i="84"/>
  <c r="D23" i="86"/>
  <c r="D23" i="87"/>
  <c r="D23" i="81"/>
  <c r="D21" i="80"/>
  <c r="D21" i="81"/>
  <c r="D21" i="83"/>
  <c r="D21" i="87"/>
  <c r="D21" i="84"/>
  <c r="D21" i="86"/>
  <c r="D21" i="85"/>
  <c r="D19" i="3"/>
  <c r="D19" i="87"/>
  <c r="D19" i="86"/>
  <c r="D19" i="48"/>
  <c r="D19" i="16"/>
  <c r="D19" i="7"/>
  <c r="D19" i="28"/>
  <c r="D19" i="37"/>
  <c r="D19" i="55"/>
  <c r="D19" i="52"/>
  <c r="D19" i="51"/>
  <c r="D19" i="14"/>
  <c r="D19" i="64"/>
  <c r="D19" i="25"/>
  <c r="D19" i="18"/>
  <c r="D19" i="81"/>
  <c r="D19" i="80"/>
  <c r="D19" i="42"/>
  <c r="D19" i="54"/>
  <c r="D19" i="11"/>
  <c r="D19" i="1"/>
  <c r="D19" i="27"/>
  <c r="D19" i="30"/>
  <c r="D19" i="62"/>
  <c r="D20" i="63"/>
  <c r="D19" i="65"/>
  <c r="D20" i="70"/>
  <c r="D19" i="43"/>
  <c r="D19" i="21"/>
  <c r="D19" i="5"/>
  <c r="D19" i="32"/>
  <c r="D19" i="36"/>
  <c r="D19" i="77"/>
  <c r="D14" i="85"/>
  <c r="D14" i="84"/>
  <c r="D14" i="83"/>
  <c r="D14" i="87"/>
  <c r="D14" i="86"/>
  <c r="D11" i="86"/>
  <c r="D11" i="85"/>
  <c r="D11" i="83"/>
  <c r="D11" i="87"/>
  <c r="D11" i="84"/>
  <c r="D11" i="1"/>
  <c r="D11" i="33"/>
  <c r="D11" i="71"/>
  <c r="D11" i="40"/>
  <c r="D11" i="15"/>
  <c r="D11" i="6"/>
  <c r="D11" i="28"/>
  <c r="D11" i="62"/>
  <c r="D11" i="64"/>
  <c r="D11" i="20"/>
  <c r="D11" i="16"/>
  <c r="D11" i="74"/>
  <c r="D11" i="77"/>
  <c r="D11" i="72"/>
  <c r="D4" i="57"/>
  <c r="E4" i="57"/>
  <c r="D11" i="9"/>
  <c r="D11" i="34"/>
  <c r="D11" i="5"/>
  <c r="D11" i="4"/>
  <c r="C30" i="4"/>
  <c r="D12" i="70"/>
  <c r="D11" i="67"/>
  <c r="D11" i="66"/>
  <c r="D11" i="61"/>
  <c r="D6" i="53"/>
  <c r="E6" i="53"/>
  <c r="D11" i="25"/>
  <c r="D11" i="52"/>
  <c r="D11" i="80"/>
  <c r="D11" i="27"/>
  <c r="D11" i="12"/>
  <c r="D11" i="10"/>
  <c r="D11" i="30"/>
  <c r="D11" i="19"/>
  <c r="D11" i="21"/>
  <c r="D11" i="18"/>
  <c r="D11" i="78"/>
  <c r="D4" i="56"/>
  <c r="E4" i="56"/>
  <c r="D12" i="63"/>
  <c r="D11" i="38"/>
  <c r="D11" i="43"/>
  <c r="D11" i="8"/>
  <c r="D11" i="24"/>
  <c r="D11" i="55"/>
  <c r="D11" i="79"/>
  <c r="D11" i="46"/>
  <c r="D11" i="32"/>
  <c r="D11" i="81"/>
  <c r="D11" i="36"/>
  <c r="D11" i="42"/>
  <c r="D11" i="48"/>
  <c r="D11" i="14"/>
  <c r="D11" i="17"/>
  <c r="D4" i="58"/>
  <c r="E4" i="58"/>
  <c r="D11" i="31"/>
  <c r="D10" i="20"/>
  <c r="D10" i="67"/>
  <c r="D10" i="44"/>
  <c r="D10" i="36"/>
  <c r="D10" i="19"/>
  <c r="D10" i="22"/>
  <c r="D10" i="81"/>
  <c r="D10" i="85"/>
  <c r="D10" i="83"/>
  <c r="D10" i="84"/>
  <c r="D10" i="86"/>
  <c r="D10" i="87"/>
  <c r="D10" i="32"/>
  <c r="C30" i="32"/>
  <c r="F35" i="23"/>
  <c r="C35" i="23"/>
  <c r="D10" i="45"/>
  <c r="D10" i="27"/>
  <c r="D10" i="34"/>
  <c r="D10" i="28"/>
  <c r="D10" i="18"/>
  <c r="D10" i="52"/>
  <c r="C30" i="52"/>
  <c r="D2" i="56"/>
  <c r="E2" i="56"/>
  <c r="D10" i="74"/>
  <c r="D10" i="3"/>
  <c r="D10" i="10"/>
  <c r="D10" i="1"/>
  <c r="D10" i="15"/>
  <c r="D10" i="31"/>
  <c r="D10" i="37"/>
  <c r="D10" i="9"/>
  <c r="C30" i="9"/>
  <c r="C31" i="9"/>
  <c r="D31" i="9"/>
  <c r="D10" i="51"/>
  <c r="D10" i="24"/>
  <c r="D10" i="38"/>
  <c r="D10" i="66"/>
  <c r="D10" i="46"/>
  <c r="D10" i="71"/>
  <c r="D10" i="12"/>
  <c r="C30" i="12"/>
  <c r="D10" i="35"/>
  <c r="D10" i="6"/>
  <c r="D10" i="54"/>
  <c r="C30" i="54"/>
  <c r="D30" i="54"/>
  <c r="D10" i="13"/>
  <c r="D10" i="62"/>
  <c r="D10" i="5"/>
  <c r="D10" i="50"/>
  <c r="D10" i="16"/>
  <c r="D10" i="80"/>
  <c r="D10" i="72"/>
  <c r="D10" i="42"/>
  <c r="D10" i="8"/>
  <c r="D10" i="33"/>
  <c r="D10" i="40"/>
  <c r="C30" i="40"/>
  <c r="F11" i="23"/>
  <c r="C30" i="48"/>
  <c r="F12" i="47"/>
  <c r="G12" i="47"/>
  <c r="D12" i="47"/>
  <c r="D10" i="14"/>
  <c r="D11" i="63"/>
  <c r="D10" i="61"/>
  <c r="C30" i="45"/>
  <c r="F42" i="23"/>
  <c r="D10" i="43"/>
  <c r="C30" i="43"/>
  <c r="D30" i="43"/>
  <c r="D10" i="7"/>
  <c r="D10" i="11"/>
  <c r="D10" i="17"/>
  <c r="D10" i="59"/>
  <c r="D10" i="64"/>
  <c r="D10" i="55"/>
  <c r="D10" i="25"/>
  <c r="C30" i="6"/>
  <c r="F4" i="47"/>
  <c r="D2" i="67"/>
  <c r="D2" i="65"/>
  <c r="D2" i="74"/>
  <c r="D2" i="66"/>
  <c r="D2" i="77"/>
  <c r="D2" i="87"/>
  <c r="D2" i="86"/>
  <c r="D2" i="84"/>
  <c r="D2" i="83"/>
  <c r="D2" i="79"/>
  <c r="D19" i="85"/>
  <c r="D19" i="83"/>
  <c r="D19" i="84"/>
  <c r="D19" i="79"/>
  <c r="C30" i="8"/>
  <c r="F33" i="23"/>
  <c r="H5" i="15"/>
  <c r="I5" i="15"/>
  <c r="D23" i="79"/>
  <c r="D23" i="80"/>
  <c r="D23" i="61"/>
  <c r="D10" i="79"/>
  <c r="D10" i="77"/>
  <c r="C30" i="38"/>
  <c r="D10" i="78"/>
  <c r="C30" i="51"/>
  <c r="G16" i="73"/>
  <c r="D5" i="3"/>
  <c r="D5" i="81"/>
  <c r="D5" i="78"/>
  <c r="C30" i="72"/>
  <c r="D13" i="50"/>
  <c r="C30" i="50"/>
  <c r="D13" i="30"/>
  <c r="D13" i="39"/>
  <c r="D13" i="62"/>
  <c r="D14" i="70"/>
  <c r="C31" i="70"/>
  <c r="D13" i="77"/>
  <c r="D13" i="3"/>
  <c r="D13" i="11"/>
  <c r="D13" i="17"/>
  <c r="D13" i="5"/>
  <c r="D14" i="63"/>
  <c r="D13" i="81"/>
  <c r="D13" i="14"/>
  <c r="D13" i="35"/>
  <c r="C30" i="35"/>
  <c r="D13" i="44"/>
  <c r="C30" i="44"/>
  <c r="D13" i="20"/>
  <c r="D13" i="13"/>
  <c r="D13" i="33"/>
  <c r="D13" i="60"/>
  <c r="D13" i="7"/>
  <c r="D13" i="64"/>
  <c r="D13" i="55"/>
  <c r="D13" i="74"/>
  <c r="C30" i="74"/>
  <c r="D13" i="24"/>
  <c r="D13" i="16"/>
  <c r="D13" i="10"/>
  <c r="D13" i="66"/>
  <c r="D13" i="65"/>
  <c r="D13" i="61"/>
  <c r="C32" i="61"/>
  <c r="C30" i="61"/>
  <c r="C30" i="7"/>
  <c r="C30" i="59"/>
  <c r="D30" i="59"/>
  <c r="C30" i="71"/>
  <c r="D30" i="71"/>
  <c r="C30" i="46"/>
  <c r="C31" i="46"/>
  <c r="D31" i="46"/>
  <c r="H5" i="13"/>
  <c r="C32" i="59"/>
  <c r="D32" i="59"/>
  <c r="F34" i="47"/>
  <c r="C30" i="34"/>
  <c r="D30" i="34"/>
  <c r="C30" i="42"/>
  <c r="F7" i="23"/>
  <c r="C30" i="3"/>
  <c r="C31" i="63"/>
  <c r="D31" i="63"/>
  <c r="C30" i="30"/>
  <c r="C38" i="31"/>
  <c r="D38" i="31"/>
  <c r="C30" i="37"/>
  <c r="C38" i="28"/>
  <c r="D38" i="28"/>
  <c r="C30" i="22"/>
  <c r="C32" i="22"/>
  <c r="D32" i="22"/>
  <c r="C31" i="27"/>
  <c r="C33" i="27"/>
  <c r="I22" i="27"/>
  <c r="I24" i="27"/>
  <c r="C30" i="24"/>
  <c r="C32" i="24"/>
  <c r="D32" i="24"/>
  <c r="C30" i="19"/>
  <c r="D30" i="19"/>
  <c r="G23" i="73"/>
  <c r="H23" i="73"/>
  <c r="D23" i="73"/>
  <c r="G24" i="73"/>
  <c r="H24" i="73"/>
  <c r="D24" i="73"/>
  <c r="C30" i="39"/>
  <c r="F12" i="23"/>
  <c r="C30" i="67"/>
  <c r="C31" i="67"/>
  <c r="D31" i="67"/>
  <c r="C31" i="87"/>
  <c r="D31" i="87"/>
  <c r="C30" i="65"/>
  <c r="D30" i="65"/>
  <c r="C31" i="66"/>
  <c r="C33" i="66"/>
  <c r="F32" i="47"/>
  <c r="C32" i="47"/>
  <c r="F29" i="23"/>
  <c r="G29" i="23"/>
  <c r="D29" i="23"/>
  <c r="C30" i="18"/>
  <c r="F36" i="23"/>
  <c r="C30" i="36"/>
  <c r="D30" i="36"/>
  <c r="C38" i="21"/>
  <c r="F19" i="23"/>
  <c r="G19" i="23"/>
  <c r="D19" i="23"/>
  <c r="F5" i="47"/>
  <c r="G5" i="47"/>
  <c r="D5" i="47"/>
  <c r="D30" i="46"/>
  <c r="G5" i="73"/>
  <c r="H5" i="73"/>
  <c r="D5" i="73"/>
  <c r="E5" i="73"/>
  <c r="C31" i="32"/>
  <c r="D31" i="32"/>
  <c r="C30" i="62"/>
  <c r="C32" i="62"/>
  <c r="G35" i="23"/>
  <c r="D35" i="23"/>
  <c r="G32" i="59"/>
  <c r="C32" i="46"/>
  <c r="C5" i="47"/>
  <c r="C30" i="83"/>
  <c r="D30" i="83"/>
  <c r="C32" i="54"/>
  <c r="D32" i="54"/>
  <c r="C30" i="85"/>
  <c r="D30" i="85"/>
  <c r="H5" i="85"/>
  <c r="I5" i="85"/>
  <c r="C32" i="45"/>
  <c r="D32" i="45"/>
  <c r="F3" i="47"/>
  <c r="C3" i="47"/>
  <c r="G3" i="73"/>
  <c r="H3" i="73"/>
  <c r="D3" i="73"/>
  <c r="E3" i="73"/>
  <c r="C32" i="4"/>
  <c r="D32" i="4"/>
  <c r="C32" i="42"/>
  <c r="D32" i="42"/>
  <c r="D30" i="42"/>
  <c r="D30" i="48"/>
  <c r="H5" i="48"/>
  <c r="I5" i="48"/>
  <c r="C38" i="20"/>
  <c r="D38" i="20"/>
  <c r="G12" i="73"/>
  <c r="H12" i="73"/>
  <c r="D12" i="73"/>
  <c r="F20" i="47"/>
  <c r="G20" i="47"/>
  <c r="D20" i="47"/>
  <c r="H7" i="15"/>
  <c r="I7" i="15"/>
  <c r="C31" i="78"/>
  <c r="C32" i="78"/>
  <c r="D32" i="78"/>
  <c r="C30" i="25"/>
  <c r="C30" i="1"/>
  <c r="F23" i="23"/>
  <c r="G23" i="23"/>
  <c r="D23" i="23"/>
  <c r="C31" i="80"/>
  <c r="C33" i="80"/>
  <c r="C30" i="64"/>
  <c r="D30" i="64"/>
  <c r="H5" i="14"/>
  <c r="F17" i="23"/>
  <c r="C31" i="8"/>
  <c r="D31" i="8"/>
  <c r="F4" i="23"/>
  <c r="C4" i="23"/>
  <c r="C30" i="5"/>
  <c r="G2" i="73"/>
  <c r="C30" i="17"/>
  <c r="D30" i="17"/>
  <c r="C30" i="55"/>
  <c r="D3" i="58"/>
  <c r="E3" i="58"/>
  <c r="C32" i="8"/>
  <c r="D32" i="8"/>
  <c r="C42" i="23"/>
  <c r="G42" i="23"/>
  <c r="D42" i="23"/>
  <c r="C32" i="12"/>
  <c r="D32" i="12"/>
  <c r="D30" i="12"/>
  <c r="H5" i="12"/>
  <c r="H7" i="12"/>
  <c r="I7" i="12"/>
  <c r="F11" i="47"/>
  <c r="C11" i="47"/>
  <c r="F8" i="23"/>
  <c r="G8" i="23"/>
  <c r="D8" i="23"/>
  <c r="G11" i="73"/>
  <c r="C11" i="73"/>
  <c r="D30" i="22"/>
  <c r="C32" i="48"/>
  <c r="D32" i="48"/>
  <c r="C30" i="86"/>
  <c r="C32" i="7"/>
  <c r="D32" i="7"/>
  <c r="D30" i="6"/>
  <c r="C31" i="4"/>
  <c r="D31" i="4"/>
  <c r="D30" i="45"/>
  <c r="C29" i="16"/>
  <c r="C30" i="16"/>
  <c r="D30" i="16"/>
  <c r="C30" i="33"/>
  <c r="C32" i="33"/>
  <c r="D32" i="33"/>
  <c r="D30" i="8"/>
  <c r="F3" i="23"/>
  <c r="G3" i="23"/>
  <c r="D3" i="23"/>
  <c r="C12" i="47"/>
  <c r="G4" i="47"/>
  <c r="D4" i="47"/>
  <c r="C4" i="47"/>
  <c r="C31" i="6"/>
  <c r="D31" i="6"/>
  <c r="C31" i="84"/>
  <c r="C33" i="84"/>
  <c r="D33" i="84"/>
  <c r="D30" i="4"/>
  <c r="C32" i="71"/>
  <c r="C42" i="47"/>
  <c r="D32" i="71"/>
  <c r="C32" i="6"/>
  <c r="D32" i="6"/>
  <c r="G4" i="73"/>
  <c r="C4" i="73"/>
  <c r="D30" i="51"/>
  <c r="C33" i="87"/>
  <c r="D33" i="87"/>
  <c r="C32" i="87"/>
  <c r="D32" i="87"/>
  <c r="C32" i="40"/>
  <c r="D32" i="40"/>
  <c r="F41" i="23"/>
  <c r="C41" i="23"/>
  <c r="D30" i="9"/>
  <c r="C32" i="9"/>
  <c r="D32" i="9"/>
  <c r="D30" i="67"/>
  <c r="D2" i="57"/>
  <c r="E2" i="57"/>
  <c r="C32" i="43"/>
  <c r="D32" i="43"/>
  <c r="C31" i="79"/>
  <c r="C33" i="79"/>
  <c r="C32" i="34"/>
  <c r="D32" i="34"/>
  <c r="C32" i="51"/>
  <c r="D32" i="51"/>
  <c r="C31" i="77"/>
  <c r="C32" i="77"/>
  <c r="D32" i="77"/>
  <c r="F5" i="23"/>
  <c r="G5" i="23"/>
  <c r="D5" i="23"/>
  <c r="D30" i="38"/>
  <c r="C32" i="38"/>
  <c r="D32" i="38"/>
  <c r="F13" i="23"/>
  <c r="C30" i="81"/>
  <c r="C32" i="81"/>
  <c r="D32" i="81"/>
  <c r="D30" i="18"/>
  <c r="D3" i="53"/>
  <c r="E3" i="53"/>
  <c r="C34" i="47"/>
  <c r="G34" i="47"/>
  <c r="D34" i="47"/>
  <c r="D30" i="72"/>
  <c r="C32" i="72"/>
  <c r="C40" i="47"/>
  <c r="C32" i="52"/>
  <c r="D32" i="52"/>
  <c r="C38" i="47"/>
  <c r="D38" i="47"/>
  <c r="D30" i="52"/>
  <c r="D2" i="53"/>
  <c r="E2" i="53"/>
  <c r="D2" i="58"/>
  <c r="E2" i="58"/>
  <c r="C28" i="73"/>
  <c r="D28" i="73"/>
  <c r="C16" i="73"/>
  <c r="H16" i="73"/>
  <c r="D16" i="73"/>
  <c r="E16" i="73"/>
  <c r="C11" i="23"/>
  <c r="G11" i="23"/>
  <c r="D11" i="23"/>
  <c r="F17" i="47"/>
  <c r="F20" i="23"/>
  <c r="D30" i="35"/>
  <c r="C32" i="35"/>
  <c r="D32" i="35"/>
  <c r="C32" i="50"/>
  <c r="D32" i="50"/>
  <c r="G15" i="73"/>
  <c r="D30" i="50"/>
  <c r="C31" i="50"/>
  <c r="D31" i="50"/>
  <c r="F16" i="47"/>
  <c r="D30" i="30"/>
  <c r="F32" i="23"/>
  <c r="C32" i="30"/>
  <c r="D32" i="30"/>
  <c r="C31" i="30"/>
  <c r="D31" i="30"/>
  <c r="C32" i="74"/>
  <c r="D32" i="74"/>
  <c r="D30" i="74"/>
  <c r="F10" i="47"/>
  <c r="C31" i="60"/>
  <c r="D31" i="60"/>
  <c r="C33" i="60"/>
  <c r="D33" i="60"/>
  <c r="C33" i="23"/>
  <c r="G33" i="23"/>
  <c r="D33" i="23"/>
  <c r="C39" i="47"/>
  <c r="D39" i="47"/>
  <c r="D32" i="61"/>
  <c r="C33" i="70"/>
  <c r="C41" i="47"/>
  <c r="D31" i="70"/>
  <c r="C31" i="44"/>
  <c r="D31" i="44"/>
  <c r="G18" i="73"/>
  <c r="F28" i="23"/>
  <c r="F24" i="47"/>
  <c r="C32" i="44"/>
  <c r="D32" i="44"/>
  <c r="D30" i="44"/>
  <c r="H7" i="13"/>
  <c r="I7" i="13"/>
  <c r="I5" i="13"/>
  <c r="F21" i="23"/>
  <c r="F22" i="47"/>
  <c r="D30" i="37"/>
  <c r="F23" i="47"/>
  <c r="F9" i="47"/>
  <c r="D31" i="66"/>
  <c r="C32" i="3"/>
  <c r="D32" i="3"/>
  <c r="G9" i="73"/>
  <c r="G10" i="73"/>
  <c r="D30" i="3"/>
  <c r="G8" i="73"/>
  <c r="H8" i="73"/>
  <c r="D8" i="73"/>
  <c r="F6" i="23"/>
  <c r="G6" i="23"/>
  <c r="D6" i="23"/>
  <c r="G6" i="73"/>
  <c r="F6" i="47"/>
  <c r="C33" i="63"/>
  <c r="D33" i="63"/>
  <c r="C24" i="73"/>
  <c r="D30" i="62"/>
  <c r="C32" i="36"/>
  <c r="D32" i="36"/>
  <c r="C32" i="37"/>
  <c r="D32" i="37"/>
  <c r="F26" i="23"/>
  <c r="C26" i="23"/>
  <c r="D30" i="39"/>
  <c r="D3" i="57"/>
  <c r="E3" i="57"/>
  <c r="E6" i="57"/>
  <c r="G22" i="73"/>
  <c r="H22" i="73"/>
  <c r="D22" i="73"/>
  <c r="C32" i="39"/>
  <c r="D32" i="39"/>
  <c r="C32" i="18"/>
  <c r="D32" i="18"/>
  <c r="F18" i="23"/>
  <c r="C18" i="23"/>
  <c r="D33" i="27"/>
  <c r="F40" i="23"/>
  <c r="C40" i="23"/>
  <c r="D31" i="27"/>
  <c r="C32" i="19"/>
  <c r="D32" i="19"/>
  <c r="C23" i="73"/>
  <c r="C36" i="47"/>
  <c r="D36" i="47"/>
  <c r="F9" i="23"/>
  <c r="C9" i="23"/>
  <c r="D30" i="24"/>
  <c r="F2" i="23"/>
  <c r="G2" i="23"/>
  <c r="D2" i="23"/>
  <c r="C32" i="65"/>
  <c r="D32" i="65"/>
  <c r="C31" i="65"/>
  <c r="D31" i="65"/>
  <c r="C32" i="5"/>
  <c r="D32" i="5"/>
  <c r="C32" i="66"/>
  <c r="D32" i="66"/>
  <c r="G17" i="73"/>
  <c r="C17" i="73"/>
  <c r="C3" i="23"/>
  <c r="H4" i="73"/>
  <c r="D4" i="73"/>
  <c r="E4" i="73"/>
  <c r="C31" i="83"/>
  <c r="D31" i="83"/>
  <c r="G14" i="73"/>
  <c r="H14" i="73"/>
  <c r="D14" i="73"/>
  <c r="E14" i="73"/>
  <c r="D30" i="7"/>
  <c r="C26" i="73"/>
  <c r="D26" i="73"/>
  <c r="C31" i="5"/>
  <c r="D31" i="5"/>
  <c r="C3" i="73"/>
  <c r="C8" i="23"/>
  <c r="C32" i="17"/>
  <c r="D32" i="17"/>
  <c r="C32" i="67"/>
  <c r="D32" i="67"/>
  <c r="D38" i="21"/>
  <c r="H7" i="85"/>
  <c r="I7" i="85"/>
  <c r="D30" i="81"/>
  <c r="C31" i="16"/>
  <c r="D31" i="16"/>
  <c r="F10" i="23"/>
  <c r="C19" i="23"/>
  <c r="F25" i="23"/>
  <c r="G25" i="23"/>
  <c r="D25" i="23"/>
  <c r="D30" i="33"/>
  <c r="H11" i="73"/>
  <c r="D11" i="73"/>
  <c r="H7" i="14"/>
  <c r="I7" i="14"/>
  <c r="C32" i="83"/>
  <c r="D32" i="83"/>
  <c r="G32" i="47"/>
  <c r="D32" i="47"/>
  <c r="I5" i="14"/>
  <c r="D31" i="84"/>
  <c r="C20" i="47"/>
  <c r="D29" i="16"/>
  <c r="C32" i="64"/>
  <c r="D32" i="64"/>
  <c r="D32" i="46"/>
  <c r="C33" i="78"/>
  <c r="C44" i="47"/>
  <c r="D44" i="47"/>
  <c r="F15" i="23"/>
  <c r="G15" i="23"/>
  <c r="D15" i="23"/>
  <c r="C5" i="73"/>
  <c r="C32" i="84"/>
  <c r="D32" i="84"/>
  <c r="D30" i="55"/>
  <c r="C29" i="23"/>
  <c r="F14" i="47"/>
  <c r="C14" i="47"/>
  <c r="C32" i="80"/>
  <c r="D32" i="80"/>
  <c r="C32" i="85"/>
  <c r="D32" i="85"/>
  <c r="G3" i="47"/>
  <c r="D3" i="47"/>
  <c r="I5" i="12"/>
  <c r="C12" i="73"/>
  <c r="D30" i="5"/>
  <c r="C27" i="73"/>
  <c r="D27" i="73"/>
  <c r="F2" i="47"/>
  <c r="G2" i="47"/>
  <c r="D2" i="47"/>
  <c r="D3" i="56"/>
  <c r="E3" i="56"/>
  <c r="E6" i="56"/>
  <c r="F27" i="47"/>
  <c r="H7" i="48"/>
  <c r="I7" i="48"/>
  <c r="C23" i="23"/>
  <c r="F16" i="23"/>
  <c r="F31" i="23"/>
  <c r="C32" i="55"/>
  <c r="D32" i="55"/>
  <c r="C31" i="17"/>
  <c r="D31" i="17"/>
  <c r="C37" i="47"/>
  <c r="D37" i="47"/>
  <c r="D31" i="80"/>
  <c r="F15" i="47"/>
  <c r="G15" i="47"/>
  <c r="D15" i="47"/>
  <c r="G11" i="47"/>
  <c r="D11" i="47"/>
  <c r="F24" i="23"/>
  <c r="C32" i="25"/>
  <c r="D32" i="25"/>
  <c r="D4" i="53"/>
  <c r="E4" i="53"/>
  <c r="E8" i="53"/>
  <c r="C32" i="1"/>
  <c r="D32" i="1"/>
  <c r="C31" i="1"/>
  <c r="D31" i="1"/>
  <c r="D30" i="1"/>
  <c r="F27" i="23"/>
  <c r="D30" i="25"/>
  <c r="C7" i="23"/>
  <c r="G7" i="23"/>
  <c r="D7" i="23"/>
  <c r="G4" i="23"/>
  <c r="D4" i="23"/>
  <c r="D31" i="78"/>
  <c r="F22" i="23"/>
  <c r="C32" i="86"/>
  <c r="D32" i="86"/>
  <c r="D30" i="86"/>
  <c r="H5" i="86"/>
  <c r="G40" i="23"/>
  <c r="D40" i="23"/>
  <c r="F21" i="47"/>
  <c r="G21" i="47"/>
  <c r="D21" i="47"/>
  <c r="C31" i="7"/>
  <c r="D31" i="7"/>
  <c r="D42" i="47"/>
  <c r="G7" i="73"/>
  <c r="H7" i="73"/>
  <c r="D7" i="73"/>
  <c r="C32" i="73"/>
  <c r="D32" i="73"/>
  <c r="E32" i="73"/>
  <c r="F8" i="47"/>
  <c r="G8" i="47"/>
  <c r="D8" i="47"/>
  <c r="F7" i="47"/>
  <c r="C7" i="47"/>
  <c r="D33" i="80"/>
  <c r="G41" i="23"/>
  <c r="D41" i="23"/>
  <c r="C45" i="47"/>
  <c r="D45" i="47"/>
  <c r="D31" i="77"/>
  <c r="C32" i="79"/>
  <c r="D32" i="79"/>
  <c r="D33" i="79"/>
  <c r="C46" i="47"/>
  <c r="D46" i="47"/>
  <c r="C33" i="77"/>
  <c r="C43" i="47"/>
  <c r="D43" i="47"/>
  <c r="D31" i="79"/>
  <c r="C13" i="23"/>
  <c r="G13" i="23"/>
  <c r="D13" i="23"/>
  <c r="E6" i="58"/>
  <c r="F28" i="47"/>
  <c r="C5" i="23"/>
  <c r="D40" i="47"/>
  <c r="C30" i="73"/>
  <c r="D30" i="73"/>
  <c r="E30" i="73"/>
  <c r="D32" i="72"/>
  <c r="G36" i="23"/>
  <c r="D36" i="23"/>
  <c r="C36" i="23"/>
  <c r="C17" i="47"/>
  <c r="G17" i="47"/>
  <c r="D17" i="47"/>
  <c r="F32" i="62"/>
  <c r="D32" i="62"/>
  <c r="C24" i="47"/>
  <c r="G24" i="47"/>
  <c r="D24" i="47"/>
  <c r="D41" i="47"/>
  <c r="C31" i="73"/>
  <c r="D31" i="73"/>
  <c r="E31" i="73"/>
  <c r="D33" i="70"/>
  <c r="H10" i="73"/>
  <c r="D10" i="73"/>
  <c r="C10" i="73"/>
  <c r="C16" i="47"/>
  <c r="G16" i="47"/>
  <c r="D16" i="47"/>
  <c r="G28" i="23"/>
  <c r="D28" i="23"/>
  <c r="C28" i="23"/>
  <c r="G6" i="47"/>
  <c r="D6" i="47"/>
  <c r="C6" i="47"/>
  <c r="C32" i="23"/>
  <c r="G32" i="23"/>
  <c r="D32" i="23"/>
  <c r="D33" i="66"/>
  <c r="C35" i="47"/>
  <c r="D35" i="47"/>
  <c r="C25" i="73"/>
  <c r="D25" i="73"/>
  <c r="E25" i="73"/>
  <c r="H18" i="73"/>
  <c r="D18" i="73"/>
  <c r="E18" i="73"/>
  <c r="C18" i="73"/>
  <c r="G10" i="47"/>
  <c r="D10" i="47"/>
  <c r="C10" i="47"/>
  <c r="C6" i="23"/>
  <c r="C17" i="23"/>
  <c r="G17" i="23"/>
  <c r="D17" i="23"/>
  <c r="G12" i="23"/>
  <c r="D12" i="23"/>
  <c r="C12" i="23"/>
  <c r="C9" i="47"/>
  <c r="G9" i="47"/>
  <c r="D9" i="47"/>
  <c r="G20" i="23"/>
  <c r="D20" i="23"/>
  <c r="C20" i="23"/>
  <c r="G9" i="23"/>
  <c r="D9" i="23"/>
  <c r="C9" i="73"/>
  <c r="H9" i="73"/>
  <c r="D9" i="73"/>
  <c r="C21" i="23"/>
  <c r="G21" i="23"/>
  <c r="D21" i="23"/>
  <c r="D30" i="61"/>
  <c r="C29" i="73"/>
  <c r="D29" i="73"/>
  <c r="H6" i="73"/>
  <c r="D6" i="73"/>
  <c r="C6" i="73"/>
  <c r="C2" i="73"/>
  <c r="H2" i="73"/>
  <c r="D2" i="73"/>
  <c r="E2" i="73"/>
  <c r="H15" i="73"/>
  <c r="D15" i="73"/>
  <c r="E15" i="73"/>
  <c r="C15" i="73"/>
  <c r="C23" i="47"/>
  <c r="G23" i="47"/>
  <c r="D23" i="47"/>
  <c r="C22" i="47"/>
  <c r="G22" i="47"/>
  <c r="D22" i="47"/>
  <c r="C8" i="73"/>
  <c r="C2" i="23"/>
  <c r="F39" i="23"/>
  <c r="G39" i="23"/>
  <c r="D39" i="23"/>
  <c r="F37" i="23"/>
  <c r="C37" i="23"/>
  <c r="D27" i="10"/>
  <c r="C31" i="10"/>
  <c r="C33" i="10"/>
  <c r="D33" i="10"/>
  <c r="G26" i="23"/>
  <c r="D26" i="23"/>
  <c r="F34" i="23"/>
  <c r="C34" i="23"/>
  <c r="G18" i="23"/>
  <c r="D18" i="23"/>
  <c r="H17" i="73"/>
  <c r="D17" i="73"/>
  <c r="C15" i="47"/>
  <c r="C14" i="73"/>
  <c r="F30" i="23"/>
  <c r="G30" i="23"/>
  <c r="D30" i="23"/>
  <c r="G16" i="23"/>
  <c r="D16" i="23"/>
  <c r="F31" i="47"/>
  <c r="C16" i="23"/>
  <c r="C22" i="73"/>
  <c r="G14" i="47"/>
  <c r="D14" i="47"/>
  <c r="C7" i="73"/>
  <c r="C10" i="23"/>
  <c r="G10" i="23"/>
  <c r="D10" i="23"/>
  <c r="F14" i="23"/>
  <c r="G14" i="23"/>
  <c r="D14" i="23"/>
  <c r="C2" i="47"/>
  <c r="C25" i="23"/>
  <c r="G7" i="47"/>
  <c r="D7" i="47"/>
  <c r="D33" i="78"/>
  <c r="F13" i="47"/>
  <c r="G13" i="47"/>
  <c r="D13" i="47"/>
  <c r="G13" i="73"/>
  <c r="H13" i="73"/>
  <c r="D13" i="73"/>
  <c r="E13" i="73"/>
  <c r="C15" i="23"/>
  <c r="G20" i="73"/>
  <c r="H20" i="73"/>
  <c r="D20" i="73"/>
  <c r="C22" i="23"/>
  <c r="G22" i="23"/>
  <c r="D22" i="23"/>
  <c r="C33" i="73"/>
  <c r="D33" i="73"/>
  <c r="C27" i="23"/>
  <c r="G27" i="23"/>
  <c r="D27" i="23"/>
  <c r="C24" i="23"/>
  <c r="G24" i="23"/>
  <c r="D24" i="23"/>
  <c r="C8" i="47"/>
  <c r="G21" i="73"/>
  <c r="H21" i="73"/>
  <c r="D21" i="73"/>
  <c r="I5" i="86"/>
  <c r="H7" i="86"/>
  <c r="I7" i="86"/>
  <c r="C21" i="47"/>
  <c r="D33" i="77"/>
  <c r="F26" i="47"/>
  <c r="C26" i="47"/>
  <c r="C30" i="47"/>
  <c r="G37" i="23"/>
  <c r="D37" i="23"/>
  <c r="C28" i="47"/>
  <c r="G28" i="47"/>
  <c r="D28" i="47"/>
  <c r="C27" i="47"/>
  <c r="G27" i="47"/>
  <c r="D27" i="47"/>
  <c r="G31" i="23"/>
  <c r="D31" i="23"/>
  <c r="C31" i="23"/>
  <c r="C39" i="23"/>
  <c r="D31" i="10"/>
  <c r="C32" i="10"/>
  <c r="D32" i="10"/>
  <c r="G34" i="23"/>
  <c r="D34" i="23"/>
  <c r="C30" i="23"/>
  <c r="C13" i="73"/>
  <c r="C20" i="73"/>
  <c r="C31" i="47"/>
  <c r="G31" i="47"/>
  <c r="D31" i="47"/>
  <c r="C14" i="23"/>
  <c r="C13" i="47"/>
  <c r="C21" i="73"/>
  <c r="F29" i="47"/>
  <c r="G29" i="47"/>
  <c r="D29" i="47"/>
  <c r="C29" i="47"/>
  <c r="G26" i="47"/>
  <c r="D26" i="47"/>
  <c r="F30" i="47"/>
  <c r="G30" i="47"/>
  <c r="D30" i="47"/>
  <c r="D25" i="88"/>
  <c r="D25" i="93"/>
  <c r="D25" i="92"/>
  <c r="D20" i="91"/>
  <c r="D22" i="93"/>
  <c r="D22" i="92"/>
  <c r="D17" i="91"/>
  <c r="D22" i="90"/>
  <c r="D22" i="89"/>
  <c r="D22" i="88"/>
  <c r="D15" i="93"/>
  <c r="D15" i="92"/>
  <c r="D15" i="90"/>
  <c r="D15" i="89"/>
  <c r="D15" i="88"/>
  <c r="D19" i="90"/>
  <c r="D19" i="93"/>
  <c r="D19" i="92"/>
  <c r="D18" i="90"/>
  <c r="D18" i="93"/>
  <c r="D18" i="92"/>
  <c r="D17" i="90"/>
  <c r="D17" i="93"/>
  <c r="D17" i="92"/>
  <c r="D14" i="90"/>
  <c r="D14" i="93"/>
  <c r="D14" i="92"/>
  <c r="D14" i="91"/>
  <c r="D4" i="93"/>
  <c r="D4" i="92"/>
  <c r="D3" i="93"/>
  <c r="D3" i="92"/>
  <c r="D24" i="90"/>
  <c r="D24" i="93"/>
  <c r="D24" i="92"/>
  <c r="D19" i="91"/>
  <c r="D23" i="93"/>
  <c r="D23" i="92"/>
  <c r="D7" i="90"/>
  <c r="D7" i="93"/>
  <c r="D7" i="92"/>
  <c r="D7" i="91"/>
  <c r="D13" i="93"/>
  <c r="D13" i="92"/>
  <c r="D10" i="90"/>
  <c r="D10" i="93"/>
  <c r="D10" i="92"/>
  <c r="D8" i="90"/>
  <c r="D8" i="93"/>
  <c r="D8" i="92"/>
  <c r="D8" i="91"/>
  <c r="D26" i="93"/>
  <c r="D26" i="92"/>
  <c r="D21" i="91"/>
  <c r="D20" i="90"/>
  <c r="D20" i="93"/>
  <c r="D20" i="92"/>
  <c r="D15" i="91"/>
  <c r="D12" i="93"/>
  <c r="D12" i="92"/>
  <c r="D12" i="90"/>
  <c r="D2" i="90"/>
  <c r="D2" i="93"/>
  <c r="D2" i="92"/>
  <c r="D2" i="91"/>
  <c r="D16" i="93"/>
  <c r="D16" i="92"/>
  <c r="D16" i="90"/>
  <c r="D21" i="90"/>
  <c r="D21" i="93"/>
  <c r="D21" i="92"/>
  <c r="D16" i="91"/>
  <c r="D11" i="93"/>
  <c r="D11" i="92"/>
  <c r="D5" i="93"/>
  <c r="D5" i="92"/>
  <c r="D9" i="93"/>
  <c r="D9" i="92"/>
  <c r="C30" i="92"/>
  <c r="F19" i="47"/>
  <c r="C29" i="93"/>
  <c r="F18" i="47"/>
  <c r="C31" i="93"/>
  <c r="D31" i="93"/>
  <c r="C30" i="93"/>
  <c r="D30" i="93"/>
  <c r="D29" i="93"/>
  <c r="C32" i="92"/>
  <c r="D32" i="92"/>
  <c r="C31" i="92"/>
  <c r="D31" i="92"/>
  <c r="D30" i="92"/>
  <c r="D23" i="90"/>
  <c r="D18" i="91"/>
  <c r="D5" i="90"/>
  <c r="D5" i="91"/>
  <c r="D13" i="90"/>
  <c r="D13" i="91"/>
  <c r="D11" i="90"/>
  <c r="D11" i="91"/>
  <c r="D9" i="90"/>
  <c r="D9" i="91"/>
  <c r="D4" i="90"/>
  <c r="D4" i="91"/>
  <c r="D3" i="90"/>
  <c r="D3" i="91"/>
  <c r="C25" i="91"/>
  <c r="C27" i="91"/>
  <c r="D27" i="91"/>
  <c r="C26" i="91"/>
  <c r="D26" i="91"/>
  <c r="D25" i="91"/>
  <c r="D26" i="11"/>
  <c r="C30" i="11"/>
  <c r="D26" i="90"/>
  <c r="C30" i="90"/>
  <c r="C32" i="90"/>
  <c r="D30" i="90"/>
  <c r="D24" i="89"/>
  <c r="D24" i="88"/>
  <c r="D23" i="89"/>
  <c r="D23" i="88"/>
  <c r="D18" i="89"/>
  <c r="D18" i="88"/>
  <c r="D16" i="89"/>
  <c r="D16" i="88"/>
  <c r="D5" i="89"/>
  <c r="D5" i="88"/>
  <c r="D14" i="89"/>
  <c r="D14" i="88"/>
  <c r="D10" i="89"/>
  <c r="C31" i="89"/>
  <c r="G34" i="73"/>
  <c r="H34" i="73"/>
  <c r="D10" i="88"/>
  <c r="C31" i="88"/>
  <c r="C18" i="47"/>
  <c r="G18" i="47"/>
  <c r="D18" i="47"/>
  <c r="C19" i="47"/>
  <c r="G19" i="47"/>
  <c r="D19" i="47"/>
  <c r="C32" i="11"/>
  <c r="F38" i="23"/>
  <c r="D30" i="11"/>
  <c r="F25" i="47"/>
  <c r="G19" i="73"/>
  <c r="D32" i="90"/>
  <c r="C49" i="47"/>
  <c r="D49" i="47"/>
  <c r="F33" i="47"/>
  <c r="G33" i="47"/>
  <c r="D33" i="47"/>
  <c r="C32" i="88"/>
  <c r="D32" i="88"/>
  <c r="C33" i="88"/>
  <c r="D31" i="88"/>
  <c r="F47" i="47"/>
  <c r="G47" i="47"/>
  <c r="D47" i="47"/>
  <c r="C32" i="89"/>
  <c r="C33" i="89"/>
  <c r="D31" i="89"/>
  <c r="D33" i="89"/>
  <c r="C34" i="73"/>
  <c r="D34" i="73"/>
  <c r="E34" i="73"/>
  <c r="C19" i="73"/>
  <c r="H19" i="73"/>
  <c r="D19" i="73"/>
  <c r="C25" i="47"/>
  <c r="G25" i="47"/>
  <c r="D25" i="47"/>
  <c r="C38" i="23"/>
  <c r="G38" i="23"/>
  <c r="D38" i="23"/>
  <c r="C48" i="47"/>
  <c r="D48" i="47"/>
  <c r="D32" i="11"/>
  <c r="C47" i="47"/>
  <c r="D32" i="89"/>
  <c r="D33" i="88"/>
  <c r="C33" i="47"/>
</calcChain>
</file>

<file path=xl/sharedStrings.xml><?xml version="1.0" encoding="utf-8"?>
<sst xmlns="http://schemas.openxmlformats.org/spreadsheetml/2006/main" count="3115" uniqueCount="214">
  <si>
    <t>Ingrediente</t>
  </si>
  <si>
    <t>Gramos</t>
  </si>
  <si>
    <t>Precio</t>
  </si>
  <si>
    <t>Total Recetas</t>
  </si>
  <si>
    <t>Cantidad de Recetas:</t>
  </si>
  <si>
    <t>Manteca</t>
  </si>
  <si>
    <t>Harina 0000</t>
  </si>
  <si>
    <t xml:space="preserve">Azucar Impalpable </t>
  </si>
  <si>
    <t>Cacao</t>
  </si>
  <si>
    <t>Huevo (unidad)</t>
  </si>
  <si>
    <t>Azucar Común</t>
  </si>
  <si>
    <t>Maizena</t>
  </si>
  <si>
    <t>Chocolate Taza</t>
  </si>
  <si>
    <t>Nueces</t>
  </si>
  <si>
    <t>Dulce de Leche</t>
  </si>
  <si>
    <t>Crema</t>
  </si>
  <si>
    <t>Harina Leudante</t>
  </si>
  <si>
    <t>Limon</t>
  </si>
  <si>
    <t>Bicarbonato</t>
  </si>
  <si>
    <t>Polveo Hornear</t>
  </si>
  <si>
    <t>Leche</t>
  </si>
  <si>
    <t>Conac</t>
  </si>
  <si>
    <t>Naranja</t>
  </si>
  <si>
    <t>Azucar Negro</t>
  </si>
  <si>
    <t>Chocolate Baño</t>
  </si>
  <si>
    <t>Biscochuelo</t>
  </si>
  <si>
    <t>Ciruelas</t>
  </si>
  <si>
    <t>Pasas</t>
  </si>
  <si>
    <t>Yogur</t>
  </si>
  <si>
    <t>Chocochips</t>
  </si>
  <si>
    <t>Una Receta</t>
  </si>
  <si>
    <t>Por Cantidad de Recetas</t>
  </si>
  <si>
    <t>Cantidad de Masitas</t>
  </si>
  <si>
    <t>Costo Receta</t>
  </si>
  <si>
    <t>Costo Docena</t>
  </si>
  <si>
    <t>Costo Individual</t>
  </si>
  <si>
    <t>Coco</t>
  </si>
  <si>
    <t>Dulce de Membrillo</t>
  </si>
  <si>
    <t>Costo por unidad</t>
  </si>
  <si>
    <t>de 8 cm</t>
  </si>
  <si>
    <t>Manzana</t>
  </si>
  <si>
    <t>Chocolate Banio</t>
  </si>
  <si>
    <t>Leche Condensada (Unidad)</t>
  </si>
  <si>
    <t>Gelatina SS (Unidad)</t>
  </si>
  <si>
    <t>Frutos Rojos</t>
  </si>
  <si>
    <t>Vasitos</t>
  </si>
  <si>
    <t>Pasta de Forrar</t>
  </si>
  <si>
    <t>PIROTINES</t>
  </si>
  <si>
    <t>Cantidad de Porciones</t>
  </si>
  <si>
    <t>Cantidad de Alfajores</t>
  </si>
  <si>
    <t>Nutella</t>
  </si>
  <si>
    <t>Chips Cobertura</t>
  </si>
  <si>
    <t>Miel</t>
  </si>
  <si>
    <t>Las masitas son de 5 cm de diámetro</t>
  </si>
  <si>
    <t>Las masitas son de 5 cm de diámetro y 30 g</t>
  </si>
  <si>
    <t>Mix Europeo</t>
  </si>
  <si>
    <t>500 gm c/u o 18 muff</t>
  </si>
  <si>
    <t>Aceite</t>
  </si>
  <si>
    <t>Almendras</t>
  </si>
  <si>
    <t>Producto</t>
  </si>
  <si>
    <t>Precio al Público</t>
  </si>
  <si>
    <t>Precio por Docena</t>
  </si>
  <si>
    <t>Porciones</t>
  </si>
  <si>
    <t>Valor Venta Receta</t>
  </si>
  <si>
    <t>Alfajores Mini Chocolate (3cm)</t>
  </si>
  <si>
    <t>Alfajores Mini Maicena (3cm)</t>
  </si>
  <si>
    <t>Alfajores Mini Rogel</t>
  </si>
  <si>
    <t>Alfajores de Nuez Mini (3cm)</t>
  </si>
  <si>
    <t>Brownies Plancha Completa</t>
  </si>
  <si>
    <t>Brownies DDL 24 cm MERENGUE</t>
  </si>
  <si>
    <t>Brownies DDL 20 cm MERENGUE</t>
  </si>
  <si>
    <t>Brownies Bariloche 24 cm</t>
  </si>
  <si>
    <t>Brownies Bariloche 20 cm</t>
  </si>
  <si>
    <t>Budín de Banana 500 gr.</t>
  </si>
  <si>
    <t>Budín de Manzanas 500 gr.</t>
  </si>
  <si>
    <t>Cakepops</t>
  </si>
  <si>
    <t>Cookies de Pasas Y Nueces</t>
  </si>
  <si>
    <t>Cookies Choco Chips Rocklets</t>
  </si>
  <si>
    <t>Donas de Vinilla</t>
  </si>
  <si>
    <t>Espumita de Limón Plancha 20x30</t>
  </si>
  <si>
    <t>Masitas Manteca Vainilla</t>
  </si>
  <si>
    <t>Torta Galesa</t>
  </si>
  <si>
    <t>Torta Butter Cream 18 cm</t>
  </si>
  <si>
    <t>Torta Butter Cream 15 cm</t>
  </si>
  <si>
    <t>Torta Number</t>
  </si>
  <si>
    <t>Pasta frola Dulce de Leche</t>
  </si>
  <si>
    <t>Cascaritas 100 gr</t>
  </si>
  <si>
    <t>Pepas</t>
  </si>
  <si>
    <t>Crema Bariloche</t>
  </si>
  <si>
    <t>Butter Cream ODRA</t>
  </si>
  <si>
    <t>Torta Manteca ODRA</t>
  </si>
  <si>
    <t>Nuez Chocolate</t>
  </si>
  <si>
    <t xml:space="preserve">Alfajores Choco-Nutella 4cm </t>
  </si>
  <si>
    <t>Alfajores de Maicena 4 cm</t>
  </si>
  <si>
    <t>Alfajores Chocolate 4cm</t>
  </si>
  <si>
    <t>Mini Frola Membrillo</t>
  </si>
  <si>
    <t>Tarta de Coco 20x30</t>
  </si>
  <si>
    <t>Valor Venta Individual</t>
  </si>
  <si>
    <t>Alfajores Chocolate</t>
  </si>
  <si>
    <t>Alfajores Maicena</t>
  </si>
  <si>
    <t>Alfajores de Nuez</t>
  </si>
  <si>
    <t>Brownies</t>
  </si>
  <si>
    <t>Budín de Banana</t>
  </si>
  <si>
    <t>Budín de Manzanas</t>
  </si>
  <si>
    <t>Cookies Choco-chips</t>
  </si>
  <si>
    <t>Donas de Chocolate</t>
  </si>
  <si>
    <t>Brookies Cookies doble choco</t>
  </si>
  <si>
    <t>Cookies Chip Taller</t>
  </si>
  <si>
    <t>Espumita de Limón</t>
  </si>
  <si>
    <t>Ganache</t>
  </si>
  <si>
    <t>Genoise</t>
  </si>
  <si>
    <t>Torta Forrada 20 cm</t>
  </si>
  <si>
    <t>Torta Forrada 15 cm</t>
  </si>
  <si>
    <t>Torta Forrada 18 cm</t>
  </si>
  <si>
    <t>Pasta frola Membrillo (2 Planchas)</t>
  </si>
  <si>
    <t>Mini Frola DDL</t>
  </si>
  <si>
    <t>Mini Frola DDL + Coco</t>
  </si>
  <si>
    <t>Mini Frola Manzana</t>
  </si>
  <si>
    <t>Tarta de Coco</t>
  </si>
  <si>
    <t>Budin de Arandanos</t>
  </si>
  <si>
    <t>Merengue Italiano</t>
  </si>
  <si>
    <t>Chips de Chocolate</t>
  </si>
  <si>
    <t>Butter Cream</t>
  </si>
  <si>
    <t>Torta Chocolate</t>
  </si>
  <si>
    <t>lleva media</t>
  </si>
  <si>
    <t>Pera</t>
  </si>
  <si>
    <t xml:space="preserve">Cantidad </t>
  </si>
  <si>
    <t>Rocklets</t>
  </si>
  <si>
    <t>Cambiar por la fruta deseada</t>
  </si>
  <si>
    <t>Biscuit Chocolate</t>
  </si>
  <si>
    <t>Budín Cítrico</t>
  </si>
  <si>
    <t>Budín de Peras</t>
  </si>
  <si>
    <t xml:space="preserve">Bundt Chololate </t>
  </si>
  <si>
    <t>Bundt Naranja</t>
  </si>
  <si>
    <t>Butter Cream Chocolate</t>
  </si>
  <si>
    <t>Butter Cream Vainilla</t>
  </si>
  <si>
    <t>Cookies Chocolate</t>
  </si>
  <si>
    <t>Cremoso de Fruta</t>
  </si>
  <si>
    <t>Cupcakes Chocolate</t>
  </si>
  <si>
    <t>Cupcakes Limón</t>
  </si>
  <si>
    <t>Duo Chocolate</t>
  </si>
  <si>
    <t>Frosting Bariloche</t>
  </si>
  <si>
    <t>Ganache Isabel Vermal</t>
  </si>
  <si>
    <t>Masitas Manteca (Choc)</t>
  </si>
  <si>
    <t>Number-Letter Tipo Chocolate</t>
  </si>
  <si>
    <t>Number-Letter Tipo Merengue</t>
  </si>
  <si>
    <t>Receta Torta Espumita</t>
  </si>
  <si>
    <t>Tartitas de Chocolate</t>
  </si>
  <si>
    <t>Torta Butter Cream</t>
  </si>
  <si>
    <t>Torta Choc Isabel Vermal</t>
  </si>
  <si>
    <t>Torta Forrada</t>
  </si>
  <si>
    <t>Torta Ganache Chocolate</t>
  </si>
  <si>
    <t>Torta Vainilla</t>
  </si>
  <si>
    <t>Vaso Geng y Limón</t>
  </si>
  <si>
    <t>Levadura</t>
  </si>
  <si>
    <t>Precio x Kg</t>
  </si>
  <si>
    <t>Por Gramo</t>
  </si>
  <si>
    <t>Totales Recetas</t>
  </si>
  <si>
    <t>Monto Aprox Recetas</t>
  </si>
  <si>
    <t>Otros Gastos</t>
  </si>
  <si>
    <t>Total</t>
  </si>
  <si>
    <t>Unidad</t>
  </si>
  <si>
    <t>Bandejas Descartables</t>
  </si>
  <si>
    <t>Vainilla</t>
  </si>
  <si>
    <t>Papel Bombones</t>
  </si>
  <si>
    <t>Imágenes Comestibles</t>
  </si>
  <si>
    <t>Film</t>
  </si>
  <si>
    <t>Folex</t>
  </si>
  <si>
    <t>Carton Vinilos Palitos</t>
  </si>
  <si>
    <t>Pirotines</t>
  </si>
  <si>
    <t>Discos Dorado</t>
  </si>
  <si>
    <t>Base Tergopol</t>
  </si>
  <si>
    <t>Bandeja Brownie Espumita</t>
  </si>
  <si>
    <t>Polvo Hornear</t>
  </si>
  <si>
    <t>Chocolate Alfajores</t>
  </si>
  <si>
    <t>Alfajorero y Moldeo</t>
  </si>
  <si>
    <t>Bandeja</t>
  </si>
  <si>
    <t>Goma Eva</t>
  </si>
  <si>
    <t>Cinta</t>
  </si>
  <si>
    <t>Peras</t>
  </si>
  <si>
    <t>UNIDAD</t>
  </si>
  <si>
    <t>Palitos</t>
  </si>
  <si>
    <t>Queso Crema</t>
  </si>
  <si>
    <t>Pasta de Goma</t>
  </si>
  <si>
    <t>x Sobre</t>
  </si>
  <si>
    <t xml:space="preserve">Coco Rayado </t>
  </si>
  <si>
    <t>Dulce Membrillo</t>
  </si>
  <si>
    <t>Oreo</t>
  </si>
  <si>
    <t>Esencia de Vainilla</t>
  </si>
  <si>
    <t>x unidad</t>
  </si>
  <si>
    <t>Arandanos</t>
  </si>
  <si>
    <t>x kg</t>
  </si>
  <si>
    <t>Mani</t>
  </si>
  <si>
    <t>Pasta de Mani</t>
  </si>
  <si>
    <t>Baño Moldeo (pins)</t>
  </si>
  <si>
    <t>Banana</t>
  </si>
  <si>
    <t>Chocolate Ganache</t>
  </si>
  <si>
    <t>20 gramos x cackepop</t>
  </si>
  <si>
    <t>Mix Europero</t>
  </si>
  <si>
    <t>3cm</t>
  </si>
  <si>
    <t>Masa Estirada Gruesa</t>
  </si>
  <si>
    <t xml:space="preserve"> </t>
  </si>
  <si>
    <t>Caja</t>
  </si>
  <si>
    <t>Champagne</t>
  </si>
  <si>
    <t>Caja Con Champu</t>
  </si>
  <si>
    <t>Alfajor de Maicena</t>
  </si>
  <si>
    <t>Alfajor de Choco Nutella</t>
  </si>
  <si>
    <t>Alfajor de Nuez</t>
  </si>
  <si>
    <t>Meteorito</t>
  </si>
  <si>
    <t>Galletitas+Imagen</t>
  </si>
  <si>
    <t>Galletitas+Pasta</t>
  </si>
  <si>
    <t>Tarjeta</t>
  </si>
  <si>
    <t>Cookies Chocochips</t>
  </si>
  <si>
    <t>Pnemos cacao para estandarizar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</si>
</sst>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\ #,##0;[Red]\-&quot;$&quot;\ #,##0"/>
    <numFmt numFmtId="165" formatCode="_-&quot;$&quot;* #,##0.00_-;\-&quot;$&quot;* #,##0.00_-;_-&quot;$&quot;* &quot;-&quot;??_-;_-@_-"/>
    <numFmt numFmtId="166" formatCode="&quot;$&quot;\ #,##0.00"/>
    <numFmt numFmtId="167" formatCode="&quot;$&quot;\ #,##0.000"/>
    <numFmt numFmtId="168" formatCode="&quot;$&quot;#,##0.00"/>
    <numFmt numFmtId="169" formatCode="_-[$$-409]* #,##0.00_ ;_-[$$-409]* \-#,##0.00\ ;_-[$$-409]* &quot;-&quot;??_ ;_-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3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3" fillId="4" borderId="1" xfId="0" applyFont="1" applyFill="1" applyBorder="1"/>
    <xf numFmtId="166" fontId="0" fillId="0" borderId="1" xfId="0" applyNumberFormat="1" applyBorder="1"/>
    <xf numFmtId="166" fontId="0" fillId="0" borderId="0" xfId="0" applyNumberFormat="1"/>
    <xf numFmtId="167" fontId="0" fillId="0" borderId="1" xfId="0" applyNumberFormat="1" applyBorder="1"/>
    <xf numFmtId="0" fontId="0" fillId="3" borderId="2" xfId="0" applyFill="1" applyBorder="1"/>
    <xf numFmtId="0" fontId="3" fillId="4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4" fillId="5" borderId="0" xfId="0" applyFont="1" applyFill="1"/>
    <xf numFmtId="0" fontId="0" fillId="0" borderId="10" xfId="0" applyBorder="1"/>
    <xf numFmtId="0" fontId="3" fillId="4" borderId="10" xfId="0" applyFont="1" applyFill="1" applyBorder="1"/>
    <xf numFmtId="166" fontId="0" fillId="0" borderId="3" xfId="0" applyNumberFormat="1" applyBorder="1"/>
    <xf numFmtId="166" fontId="0" fillId="0" borderId="10" xfId="0" applyNumberFormat="1" applyBorder="1"/>
    <xf numFmtId="0" fontId="0" fillId="6" borderId="1" xfId="0" applyFill="1" applyBorder="1"/>
    <xf numFmtId="166" fontId="0" fillId="6" borderId="6" xfId="0" applyNumberFormat="1" applyFill="1" applyBorder="1"/>
    <xf numFmtId="0" fontId="0" fillId="6" borderId="7" xfId="0" applyFill="1" applyBorder="1"/>
    <xf numFmtId="168" fontId="0" fillId="0" borderId="0" xfId="0" applyNumberFormat="1"/>
    <xf numFmtId="0" fontId="0" fillId="2" borderId="0" xfId="0" applyFill="1"/>
    <xf numFmtId="0" fontId="0" fillId="0" borderId="3" xfId="0" applyBorder="1"/>
    <xf numFmtId="165" fontId="0" fillId="0" borderId="0" xfId="1" applyFont="1"/>
    <xf numFmtId="165" fontId="0" fillId="0" borderId="1" xfId="1" applyFont="1" applyBorder="1"/>
    <xf numFmtId="0" fontId="0" fillId="0" borderId="12" xfId="0" applyBorder="1"/>
    <xf numFmtId="0" fontId="0" fillId="10" borderId="13" xfId="0" applyFill="1" applyBorder="1"/>
    <xf numFmtId="165" fontId="0" fillId="10" borderId="1" xfId="1" applyFont="1" applyFill="1" applyBorder="1"/>
    <xf numFmtId="165" fontId="0" fillId="0" borderId="3" xfId="1" applyFont="1" applyBorder="1"/>
    <xf numFmtId="0" fontId="0" fillId="12" borderId="1" xfId="0" applyFill="1" applyBorder="1"/>
    <xf numFmtId="165" fontId="0" fillId="12" borderId="1" xfId="1" applyFont="1" applyFill="1" applyBorder="1"/>
    <xf numFmtId="167" fontId="0" fillId="0" borderId="0" xfId="0" applyNumberFormat="1"/>
    <xf numFmtId="0" fontId="0" fillId="13" borderId="13" xfId="0" applyFill="1" applyBorder="1"/>
    <xf numFmtId="165" fontId="0" fillId="13" borderId="1" xfId="1" applyFont="1" applyFill="1" applyBorder="1"/>
    <xf numFmtId="0" fontId="0" fillId="10" borderId="1" xfId="0" applyFill="1" applyBorder="1"/>
    <xf numFmtId="0" fontId="0" fillId="13" borderId="1" xfId="0" applyFill="1" applyBorder="1"/>
    <xf numFmtId="0" fontId="0" fillId="8" borderId="13" xfId="0" applyFill="1" applyBorder="1"/>
    <xf numFmtId="0" fontId="0" fillId="11" borderId="13" xfId="0" applyFill="1" applyBorder="1"/>
    <xf numFmtId="165" fontId="0" fillId="0" borderId="2" xfId="1" applyFont="1" applyBorder="1"/>
    <xf numFmtId="165" fontId="0" fillId="10" borderId="2" xfId="1" applyFont="1" applyFill="1" applyBorder="1"/>
    <xf numFmtId="165" fontId="0" fillId="13" borderId="2" xfId="1" applyFont="1" applyFill="1" applyBorder="1"/>
    <xf numFmtId="165" fontId="0" fillId="12" borderId="2" xfId="1" applyFont="1" applyFill="1" applyBorder="1"/>
    <xf numFmtId="0" fontId="7" fillId="5" borderId="11" xfId="0" applyFont="1" applyFill="1" applyBorder="1"/>
    <xf numFmtId="0" fontId="6" fillId="9" borderId="15" xfId="0" applyFont="1" applyFill="1" applyBorder="1"/>
    <xf numFmtId="0" fontId="0" fillId="8" borderId="14" xfId="0" applyFill="1" applyBorder="1"/>
    <xf numFmtId="0" fontId="0" fillId="10" borderId="14" xfId="0" applyFill="1" applyBorder="1"/>
    <xf numFmtId="0" fontId="0" fillId="10" borderId="3" xfId="0" applyFill="1" applyBorder="1"/>
    <xf numFmtId="165" fontId="0" fillId="10" borderId="3" xfId="1" applyFont="1" applyFill="1" applyBorder="1"/>
    <xf numFmtId="165" fontId="0" fillId="0" borderId="16" xfId="1" applyFont="1" applyBorder="1"/>
    <xf numFmtId="165" fontId="0" fillId="10" borderId="16" xfId="1" applyFont="1" applyFill="1" applyBorder="1"/>
    <xf numFmtId="0" fontId="0" fillId="14" borderId="13" xfId="0" applyFill="1" applyBorder="1"/>
    <xf numFmtId="0" fontId="0" fillId="11" borderId="14" xfId="0" applyFill="1" applyBorder="1"/>
    <xf numFmtId="0" fontId="0" fillId="12" borderId="3" xfId="0" applyFill="1" applyBorder="1"/>
    <xf numFmtId="165" fontId="0" fillId="12" borderId="3" xfId="1" applyFont="1" applyFill="1" applyBorder="1"/>
    <xf numFmtId="165" fontId="0" fillId="12" borderId="16" xfId="1" applyFont="1" applyFill="1" applyBorder="1"/>
    <xf numFmtId="0" fontId="0" fillId="11" borderId="1" xfId="0" applyFill="1" applyBorder="1"/>
    <xf numFmtId="165" fontId="0" fillId="11" borderId="1" xfId="1" applyFont="1" applyFill="1" applyBorder="1"/>
    <xf numFmtId="165" fontId="0" fillId="11" borderId="2" xfId="1" applyFont="1" applyFill="1" applyBorder="1"/>
    <xf numFmtId="0" fontId="0" fillId="6" borderId="13" xfId="0" applyFill="1" applyBorder="1"/>
    <xf numFmtId="165" fontId="0" fillId="6" borderId="1" xfId="1" applyFont="1" applyFill="1" applyBorder="1"/>
    <xf numFmtId="165" fontId="0" fillId="6" borderId="2" xfId="1" applyFont="1" applyFill="1" applyBorder="1"/>
    <xf numFmtId="0" fontId="4" fillId="5" borderId="13" xfId="0" applyFont="1" applyFill="1" applyBorder="1"/>
    <xf numFmtId="0" fontId="4" fillId="5" borderId="1" xfId="0" applyFont="1" applyFill="1" applyBorder="1"/>
    <xf numFmtId="165" fontId="4" fillId="5" borderId="1" xfId="1" applyFont="1" applyFill="1" applyBorder="1"/>
    <xf numFmtId="165" fontId="4" fillId="5" borderId="2" xfId="1" applyFont="1" applyFill="1" applyBorder="1"/>
    <xf numFmtId="0" fontId="6" fillId="7" borderId="17" xfId="0" applyFont="1" applyFill="1" applyBorder="1"/>
    <xf numFmtId="0" fontId="7" fillId="5" borderId="17" xfId="0" applyFont="1" applyFill="1" applyBorder="1"/>
    <xf numFmtId="0" fontId="6" fillId="9" borderId="12" xfId="0" applyFont="1" applyFill="1" applyBorder="1"/>
    <xf numFmtId="0" fontId="0" fillId="15" borderId="13" xfId="0" applyFill="1" applyBorder="1"/>
    <xf numFmtId="165" fontId="0" fillId="15" borderId="1" xfId="1" applyFont="1" applyFill="1" applyBorder="1"/>
    <xf numFmtId="165" fontId="0" fillId="7" borderId="1" xfId="1" applyFont="1" applyFill="1" applyBorder="1"/>
    <xf numFmtId="0" fontId="0" fillId="7" borderId="13" xfId="0" applyFill="1" applyBorder="1"/>
    <xf numFmtId="0" fontId="0" fillId="16" borderId="13" xfId="0" applyFill="1" applyBorder="1"/>
    <xf numFmtId="165" fontId="0" fillId="16" borderId="1" xfId="1" applyFont="1" applyFill="1" applyBorder="1"/>
    <xf numFmtId="0" fontId="0" fillId="9" borderId="13" xfId="0" applyFill="1" applyBorder="1"/>
    <xf numFmtId="165" fontId="0" fillId="9" borderId="1" xfId="1" applyFont="1" applyFill="1" applyBorder="1"/>
    <xf numFmtId="0" fontId="0" fillId="9" borderId="14" xfId="0" applyFill="1" applyBorder="1"/>
    <xf numFmtId="165" fontId="0" fillId="9" borderId="3" xfId="1" applyFont="1" applyFill="1" applyBorder="1"/>
    <xf numFmtId="0" fontId="0" fillId="17" borderId="13" xfId="0" applyFill="1" applyBorder="1"/>
    <xf numFmtId="165" fontId="0" fillId="17" borderId="1" xfId="1" applyFont="1" applyFill="1" applyBorder="1"/>
    <xf numFmtId="165" fontId="0" fillId="11" borderId="3" xfId="1" applyFont="1" applyFill="1" applyBorder="1"/>
    <xf numFmtId="2" fontId="0" fillId="0" borderId="0" xfId="1" applyNumberFormat="1" applyFont="1"/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/>
    <xf numFmtId="165" fontId="0" fillId="0" borderId="0" xfId="1" applyFont="1" applyBorder="1"/>
    <xf numFmtId="164" fontId="0" fillId="0" borderId="0" xfId="0" applyNumberFormat="1"/>
    <xf numFmtId="0" fontId="0" fillId="6" borderId="0" xfId="0" applyFill="1"/>
    <xf numFmtId="0" fontId="0" fillId="0" borderId="13" xfId="0" applyBorder="1"/>
    <xf numFmtId="0" fontId="0" fillId="0" borderId="14" xfId="0" applyBorder="1"/>
    <xf numFmtId="0" fontId="8" fillId="12" borderId="1" xfId="0" applyFont="1" applyFill="1" applyBorder="1"/>
    <xf numFmtId="0" fontId="8" fillId="18" borderId="1" xfId="0" applyFont="1" applyFill="1" applyBorder="1" applyAlignment="1">
      <alignment horizontal="center"/>
    </xf>
    <xf numFmtId="2" fontId="9" fillId="18" borderId="1" xfId="0" applyNumberFormat="1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165" fontId="8" fillId="12" borderId="1" xfId="1" applyFont="1" applyFill="1" applyBorder="1"/>
    <xf numFmtId="2" fontId="8" fillId="12" borderId="1" xfId="0" applyNumberFormat="1" applyFont="1" applyFill="1" applyBorder="1"/>
    <xf numFmtId="165" fontId="2" fillId="12" borderId="2" xfId="1" applyFont="1" applyFill="1" applyBorder="1"/>
    <xf numFmtId="165" fontId="2" fillId="13" borderId="1" xfId="1" applyFont="1" applyFill="1" applyBorder="1"/>
    <xf numFmtId="165" fontId="2" fillId="13" borderId="2" xfId="1" applyFont="1" applyFill="1" applyBorder="1"/>
    <xf numFmtId="165" fontId="2" fillId="12" borderId="1" xfId="1" applyFont="1" applyFill="1" applyBorder="1"/>
    <xf numFmtId="165" fontId="2" fillId="0" borderId="1" xfId="1" applyFont="1" applyBorder="1"/>
    <xf numFmtId="0" fontId="0" fillId="12" borderId="18" xfId="0" applyFill="1" applyBorder="1"/>
    <xf numFmtId="2" fontId="0" fillId="12" borderId="18" xfId="1" applyNumberFormat="1" applyFont="1" applyFill="1" applyBorder="1"/>
    <xf numFmtId="165" fontId="0" fillId="12" borderId="18" xfId="1" applyFont="1" applyFill="1" applyBorder="1"/>
    <xf numFmtId="2" fontId="2" fillId="12" borderId="18" xfId="1" applyNumberFormat="1" applyFont="1" applyFill="1" applyBorder="1"/>
    <xf numFmtId="165" fontId="2" fillId="12" borderId="18" xfId="1" applyFont="1" applyFill="1" applyBorder="1"/>
    <xf numFmtId="2" fontId="0" fillId="12" borderId="18" xfId="0" applyNumberFormat="1" applyFill="1" applyBorder="1"/>
    <xf numFmtId="0" fontId="10" fillId="12" borderId="18" xfId="0" applyFont="1" applyFill="1" applyBorder="1"/>
    <xf numFmtId="2" fontId="11" fillId="12" borderId="18" xfId="0" applyNumberFormat="1" applyFont="1" applyFill="1" applyBorder="1"/>
    <xf numFmtId="0" fontId="11" fillId="12" borderId="18" xfId="0" applyFont="1" applyFill="1" applyBorder="1"/>
    <xf numFmtId="0" fontId="10" fillId="12" borderId="0" xfId="0" applyFont="1" applyFill="1"/>
    <xf numFmtId="0" fontId="10" fillId="12" borderId="1" xfId="0" applyFont="1" applyFill="1" applyBorder="1"/>
    <xf numFmtId="0" fontId="0" fillId="0" borderId="11" xfId="0" applyBorder="1"/>
    <xf numFmtId="2" fontId="0" fillId="0" borderId="11" xfId="0" applyNumberFormat="1" applyBorder="1"/>
    <xf numFmtId="167" fontId="0" fillId="0" borderId="11" xfId="0" applyNumberFormat="1" applyBorder="1"/>
    <xf numFmtId="166" fontId="0" fillId="0" borderId="11" xfId="0" applyNumberFormat="1" applyBorder="1"/>
    <xf numFmtId="0" fontId="0" fillId="0" borderId="18" xfId="0" applyBorder="1"/>
    <xf numFmtId="0" fontId="0" fillId="0" borderId="19" xfId="0" applyBorder="1"/>
    <xf numFmtId="0" fontId="0" fillId="12" borderId="20" xfId="0" applyFill="1" applyBorder="1"/>
    <xf numFmtId="165" fontId="0" fillId="12" borderId="21" xfId="1" applyFont="1" applyFill="1" applyBorder="1"/>
    <xf numFmtId="169" fontId="8" fillId="12" borderId="1" xfId="1" applyNumberFormat="1" applyFont="1" applyFill="1" applyBorder="1"/>
    <xf numFmtId="169" fontId="0" fillId="0" borderId="1" xfId="1" applyNumberFormat="1" applyFont="1" applyBorder="1"/>
    <xf numFmtId="169" fontId="0" fillId="0" borderId="18" xfId="0" applyNumberFormat="1" applyBorder="1"/>
    <xf numFmtId="165" fontId="0" fillId="0" borderId="18" xfId="1" applyFont="1" applyBorder="1"/>
    <xf numFmtId="0" fontId="0" fillId="19" borderId="18" xfId="0" applyFont="1" applyFill="1" applyBorder="1"/>
    <xf numFmtId="165" fontId="0" fillId="19" borderId="18" xfId="1" applyNumberFormat="1" applyFont="1" applyFill="1" applyBorder="1"/>
    <xf numFmtId="169" fontId="0" fillId="0" borderId="3" xfId="0" applyNumberFormat="1" applyBorder="1"/>
    <xf numFmtId="0" fontId="12" fillId="0" borderId="18" xfId="0" applyFont="1" applyFill="1" applyBorder="1" applyAlignment="1"/>
    <xf numFmtId="2" fontId="1" fillId="12" borderId="18" xfId="1" applyNumberFormat="1" applyFont="1" applyFill="1" applyBorder="1"/>
    <xf numFmtId="165" fontId="1" fillId="12" borderId="18" xfId="1" applyFont="1" applyFill="1" applyBorder="1"/>
  </cellXfs>
  <cellStyles count="2">
    <cellStyle name="Moneda" xfId="1" builtinId="4"/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color theme="1" tint="0.499984740745262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34" displayName="Tabla134" ref="B1:H24" totalsRowShown="0" headerRowBorderDxfId="25" tableBorderDxfId="24" totalsRowBorderDxfId="23">
  <autoFilter ref="B1:H24" xr:uid="{00000000-0009-0000-0100-000003000000}"/>
  <sortState xmlns:xlrd2="http://schemas.microsoft.com/office/spreadsheetml/2017/richdata2" ref="B2:G39">
    <sortCondition ref="B2:B39"/>
  </sortState>
  <tableColumns count="7">
    <tableColumn id="1" xr3:uid="{00000000-0010-0000-0000-000001000000}" name="Producto" dataDxfId="22"/>
    <tableColumn id="4" xr3:uid="{00000000-0010-0000-0000-000004000000}" name="Costo Individual" dataDxfId="21" dataCellStyle="Moneda">
      <calculatedColumnFormula>G2/F2</calculatedColumnFormula>
    </tableColumn>
    <tableColumn id="6" xr3:uid="{00000000-0010-0000-0000-000006000000}" name="Precio al Público" dataDxfId="20" dataCellStyle="Moneda">
      <calculatedColumnFormula>H2/F2</calculatedColumnFormula>
    </tableColumn>
    <tableColumn id="7" xr3:uid="{00000000-0010-0000-0000-000007000000}" name="Precio por Docena" dataDxfId="19"/>
    <tableColumn id="2" xr3:uid="{00000000-0010-0000-0000-000002000000}" name="Porciones" dataDxfId="18"/>
    <tableColumn id="3" xr3:uid="{00000000-0010-0000-0000-000003000000}" name="Costo Receta"/>
    <tableColumn id="5" xr3:uid="{00000000-0010-0000-0000-000005000000}" name="Valor Venta Receta">
      <calculatedColumnFormula>G2*3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B1:G34" totalsRowShown="0" headerRowDxfId="17" dataDxfId="15" headerRowBorderDxfId="16" tableBorderDxfId="14" totalsRowBorderDxfId="13">
  <autoFilter ref="B1:G34" xr:uid="{00000000-0009-0000-0100-000002000000}"/>
  <sortState xmlns:xlrd2="http://schemas.microsoft.com/office/spreadsheetml/2017/richdata2" ref="B2:G49">
    <sortCondition ref="B2:B49"/>
  </sortState>
  <tableColumns count="6">
    <tableColumn id="1" xr3:uid="{00000000-0010-0000-0100-000001000000}" name="Producto" dataDxfId="12"/>
    <tableColumn id="4" xr3:uid="{00000000-0010-0000-0100-000004000000}" name="Costo Individual" dataDxfId="11" dataCellStyle="Moneda">
      <calculatedColumnFormula>F2/E2</calculatedColumnFormula>
    </tableColumn>
    <tableColumn id="6" xr3:uid="{00000000-0010-0000-0100-000006000000}" name="Valor Venta Individual" dataDxfId="10" dataCellStyle="Moneda">
      <calculatedColumnFormula>G2/E2</calculatedColumnFormula>
    </tableColumn>
    <tableColumn id="2" xr3:uid="{00000000-0010-0000-0100-000002000000}" name="Porciones" dataDxfId="9"/>
    <tableColumn id="3" xr3:uid="{00000000-0010-0000-0100-000003000000}" name="Costo Receta" dataDxfId="8"/>
    <tableColumn id="5" xr3:uid="{00000000-0010-0000-0100-000005000000}" name="Valor Venta Receta" dataDxfId="7">
      <calculatedColumnFormula>F2*3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1" displayName="Tabla1" ref="B1:G41" totalsRowShown="0" headerRowBorderDxfId="6" tableBorderDxfId="5" totalsRowBorderDxfId="4">
  <autoFilter ref="B1:G41" xr:uid="{00000000-0009-0000-0100-000001000000}"/>
  <sortState xmlns:xlrd2="http://schemas.microsoft.com/office/spreadsheetml/2017/richdata2" ref="B2:G39">
    <sortCondition ref="B2:B39"/>
  </sortState>
  <tableColumns count="6">
    <tableColumn id="1" xr3:uid="{00000000-0010-0000-0200-000001000000}" name="Producto" dataDxfId="3"/>
    <tableColumn id="4" xr3:uid="{00000000-0010-0000-0200-000004000000}" name="Costo Individual" dataDxfId="2" dataCellStyle="Moneda">
      <calculatedColumnFormula>F2/E2</calculatedColumnFormula>
    </tableColumn>
    <tableColumn id="6" xr3:uid="{00000000-0010-0000-0200-000006000000}" name="Valor Venta Individual" dataDxfId="1" dataCellStyle="Moneda">
      <calculatedColumnFormula>G2/E2</calculatedColumnFormula>
    </tableColumn>
    <tableColumn id="2" xr3:uid="{00000000-0010-0000-0200-000002000000}" name="Porciones" dataDxfId="0"/>
    <tableColumn id="3" xr3:uid="{00000000-0010-0000-0200-000003000000}" name="Costo Receta"/>
    <tableColumn id="5" xr3:uid="{00000000-0010-0000-0200-000005000000}" name="Valor Venta Receta">
      <calculatedColumnFormula>F2*3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opLeftCell="A8" workbookViewId="0">
      <selection activeCell="C30" sqref="C30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60</v>
      </c>
      <c r="D2" s="5">
        <f>C2*'Valores y Totales'!C2</f>
        <v>660</v>
      </c>
      <c r="E2" s="2">
        <f>G$1*C2</f>
        <v>60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150</v>
      </c>
      <c r="D9" s="5">
        <f>C9*'Valores y Totales'!C9</f>
        <v>3900</v>
      </c>
      <c r="E9" s="2">
        <f t="shared" si="0"/>
        <v>150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400</v>
      </c>
      <c r="D11" s="5">
        <f>C11*'Valores y Totales'!C11</f>
        <v>2000</v>
      </c>
      <c r="E11" s="2">
        <f t="shared" si="0"/>
        <v>400</v>
      </c>
    </row>
    <row r="12" spans="2:7" x14ac:dyDescent="0.2">
      <c r="B12" s="2" t="s">
        <v>15</v>
      </c>
      <c r="C12" s="2">
        <v>120</v>
      </c>
      <c r="D12" s="5">
        <f>C12*'Valores y Totales'!C12</f>
        <v>1200</v>
      </c>
      <c r="E12" s="2">
        <f t="shared" si="0"/>
        <v>120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30</v>
      </c>
      <c r="D18" s="5">
        <f>C18*'Valores y Totales'!C18</f>
        <v>400</v>
      </c>
      <c r="E18" s="2">
        <f t="shared" si="0"/>
        <v>30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D27" s="6"/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32</v>
      </c>
      <c r="C29" s="10">
        <v>1</v>
      </c>
      <c r="D29" s="11">
        <f>C29*G$1</f>
        <v>1</v>
      </c>
    </row>
    <row r="30" spans="2:5" x14ac:dyDescent="0.2">
      <c r="B30" s="3" t="s">
        <v>33</v>
      </c>
      <c r="C30" s="13">
        <f>SUM(D2:D26)</f>
        <v>8160</v>
      </c>
      <c r="D30" s="12">
        <f>C30*G$1</f>
        <v>8160</v>
      </c>
    </row>
    <row r="31" spans="2:5" x14ac:dyDescent="0.2">
      <c r="B31" s="3" t="s">
        <v>34</v>
      </c>
      <c r="C31" s="13">
        <f>C30/C29*12</f>
        <v>97920</v>
      </c>
      <c r="D31" s="14">
        <f>C31</f>
        <v>97920</v>
      </c>
    </row>
    <row r="32" spans="2:5" ht="15.75" thickBot="1" x14ac:dyDescent="0.25">
      <c r="B32" s="3" t="s">
        <v>35</v>
      </c>
      <c r="C32" s="15">
        <f>C30/C29</f>
        <v>8160</v>
      </c>
      <c r="D32" s="16">
        <f>C32</f>
        <v>8160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2644-ACE8-4288-81D3-842122898644}">
  <dimension ref="B1:G33"/>
  <sheetViews>
    <sheetView tabSelected="1" workbookViewId="0">
      <selection activeCell="C30" sqref="C30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155</v>
      </c>
      <c r="D2" s="5">
        <f>C2*'Valores y Totales'!C2</f>
        <v>1705</v>
      </c>
      <c r="E2" s="2">
        <f>G$1*C2</f>
        <v>155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7" si="0">G$1*C3</f>
        <v>250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75</v>
      </c>
      <c r="D7" s="5">
        <f>C7*'Valores y Totales'!C7</f>
        <v>105</v>
      </c>
      <c r="E7" s="2">
        <f t="shared" si="0"/>
        <v>75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700</v>
      </c>
      <c r="D11" s="5">
        <f>C11*'Valores y Totales'!C11</f>
        <v>3500</v>
      </c>
      <c r="E11" s="2">
        <f t="shared" si="0"/>
        <v>700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7</v>
      </c>
      <c r="D16" s="5">
        <f>C16*'Valores y Totales'!C16</f>
        <v>28</v>
      </c>
      <c r="E16" s="2">
        <f t="shared" si="0"/>
        <v>7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36</v>
      </c>
      <c r="C25" s="2">
        <v>150</v>
      </c>
      <c r="D25" s="5">
        <f>C25*'Valores y Totales'!C44</f>
        <v>1800</v>
      </c>
      <c r="E25" s="2">
        <f t="shared" si="0"/>
        <v>150</v>
      </c>
    </row>
    <row r="26" spans="2:5" x14ac:dyDescent="0.2">
      <c r="B26" s="2" t="s">
        <v>37</v>
      </c>
      <c r="C26" s="2">
        <v>0</v>
      </c>
      <c r="D26" s="5">
        <f>C26*'Valores y Totales'!C45</f>
        <v>0</v>
      </c>
      <c r="E26" s="2">
        <f t="shared" si="0"/>
        <v>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x14ac:dyDescent="0.2">
      <c r="C29" s="9" t="s">
        <v>30</v>
      </c>
      <c r="D29" s="9" t="s">
        <v>31</v>
      </c>
    </row>
    <row r="30" spans="2:5" x14ac:dyDescent="0.2">
      <c r="B30" s="3" t="s">
        <v>32</v>
      </c>
      <c r="C30" s="10">
        <v>30</v>
      </c>
      <c r="D30" s="11">
        <v>70</v>
      </c>
    </row>
    <row r="31" spans="2:5" x14ac:dyDescent="0.2">
      <c r="B31" s="3" t="s">
        <v>33</v>
      </c>
      <c r="C31" s="13">
        <f>SUM(D2:D27)</f>
        <v>8768</v>
      </c>
      <c r="D31" s="12">
        <f>C31*G$1</f>
        <v>8768</v>
      </c>
    </row>
    <row r="32" spans="2:5" x14ac:dyDescent="0.2">
      <c r="B32" s="3" t="s">
        <v>38</v>
      </c>
      <c r="C32" s="13">
        <f>C31/C30</f>
        <v>292.26666666666665</v>
      </c>
      <c r="D32" s="14">
        <f>C32</f>
        <v>292.26666666666665</v>
      </c>
    </row>
    <row r="33" spans="2:4" x14ac:dyDescent="0.2">
      <c r="B33" s="3" t="s">
        <v>35</v>
      </c>
      <c r="C33" s="15">
        <f>C31/C30</f>
        <v>292.26666666666665</v>
      </c>
      <c r="D33" s="16">
        <f>C33</f>
        <v>292.26666666666665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3"/>
  <sheetViews>
    <sheetView workbookViewId="0">
      <selection activeCell="C22" sqref="C2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310</v>
      </c>
      <c r="D2" s="5">
        <f>C2*'Valores y Totales'!C2</f>
        <v>3410</v>
      </c>
      <c r="E2" s="2">
        <f>G$1*C2</f>
        <v>310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7" si="0">G$1*C3</f>
        <v>500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6</v>
      </c>
      <c r="D6" s="5">
        <f>C6*'Valores y Totales'!B6</f>
        <v>1260</v>
      </c>
      <c r="E6" s="2">
        <f t="shared" si="0"/>
        <v>6</v>
      </c>
    </row>
    <row r="7" spans="2:7" x14ac:dyDescent="0.2">
      <c r="B7" s="2" t="s">
        <v>10</v>
      </c>
      <c r="C7" s="2">
        <v>150</v>
      </c>
      <c r="D7" s="5">
        <f>C7*'Valores y Totales'!C7</f>
        <v>210</v>
      </c>
      <c r="E7" s="2">
        <f t="shared" si="0"/>
        <v>150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1200</v>
      </c>
      <c r="D11" s="5">
        <f>C11*'Valores y Totales'!C11</f>
        <v>6000</v>
      </c>
      <c r="E11" s="2">
        <f t="shared" si="0"/>
        <v>1200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36</v>
      </c>
      <c r="C25" s="2">
        <v>300</v>
      </c>
      <c r="D25" s="5">
        <f>C25*'Valores y Totales'!C44</f>
        <v>3600</v>
      </c>
      <c r="E25" s="2">
        <f t="shared" si="0"/>
        <v>300</v>
      </c>
    </row>
    <row r="26" spans="2:5" x14ac:dyDescent="0.2">
      <c r="B26" s="2" t="s">
        <v>37</v>
      </c>
      <c r="C26" s="2">
        <v>0</v>
      </c>
      <c r="D26" s="5">
        <f>C26*'Valores y Totales'!C45</f>
        <v>0</v>
      </c>
      <c r="E26" s="2">
        <f t="shared" si="0"/>
        <v>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15</v>
      </c>
      <c r="D30" s="11">
        <f>C30*G$1</f>
        <v>15</v>
      </c>
      <c r="E30" t="s">
        <v>39</v>
      </c>
    </row>
    <row r="31" spans="2:5" x14ac:dyDescent="0.2">
      <c r="B31" s="3" t="s">
        <v>33</v>
      </c>
      <c r="C31" s="13">
        <f>SUM(D2:D27)</f>
        <v>15815</v>
      </c>
      <c r="D31" s="12">
        <f>C31*G$1</f>
        <v>15815</v>
      </c>
    </row>
    <row r="32" spans="2:5" x14ac:dyDescent="0.2">
      <c r="B32" s="3" t="s">
        <v>38</v>
      </c>
      <c r="C32" s="13">
        <f>C31/C30</f>
        <v>1054.3333333333333</v>
      </c>
      <c r="D32" s="14">
        <f>C32</f>
        <v>1054.3333333333333</v>
      </c>
    </row>
    <row r="33" spans="2:4" ht="15.75" thickBot="1" x14ac:dyDescent="0.25">
      <c r="B33" s="3" t="s">
        <v>35</v>
      </c>
      <c r="C33" s="15">
        <f>C31/C30</f>
        <v>1054.3333333333333</v>
      </c>
      <c r="D33" s="16">
        <f>C33</f>
        <v>1054.3333333333333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3"/>
  <sheetViews>
    <sheetView topLeftCell="A19" workbookViewId="0">
      <selection activeCell="C34" sqref="C34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350</v>
      </c>
      <c r="D2" s="5">
        <f>C2*'Valores y Totales'!C2</f>
        <v>3850</v>
      </c>
      <c r="E2" s="2">
        <f>G$1*C2</f>
        <v>350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7" si="0">G$1*C3</f>
        <v>500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160</v>
      </c>
      <c r="D7" s="5">
        <f>C7*'Valores y Totales'!C7</f>
        <v>224</v>
      </c>
      <c r="E7" s="2">
        <f t="shared" si="0"/>
        <v>160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40</v>
      </c>
      <c r="C26" s="2">
        <v>10</v>
      </c>
      <c r="D26" s="5">
        <f>C26*'Valores y Totales'!C49</f>
        <v>6000</v>
      </c>
      <c r="E26" s="2">
        <f t="shared" si="0"/>
        <v>10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15</v>
      </c>
      <c r="D30" s="11">
        <f>C30*G$1</f>
        <v>15</v>
      </c>
      <c r="E30" t="s">
        <v>39</v>
      </c>
    </row>
    <row r="31" spans="2:5" x14ac:dyDescent="0.2">
      <c r="B31" s="3" t="s">
        <v>33</v>
      </c>
      <c r="C31" s="13">
        <f>SUM(D2:D27)</f>
        <v>11829</v>
      </c>
      <c r="D31" s="12">
        <f>C31*G$1</f>
        <v>11829</v>
      </c>
    </row>
    <row r="32" spans="2:5" x14ac:dyDescent="0.2">
      <c r="B32" s="3" t="s">
        <v>38</v>
      </c>
      <c r="C32" s="13">
        <f>C31/C30</f>
        <v>788.6</v>
      </c>
      <c r="D32" s="14">
        <f>C32</f>
        <v>788.6</v>
      </c>
    </row>
    <row r="33" spans="2:4" ht="15.75" thickBot="1" x14ac:dyDescent="0.25">
      <c r="B33" s="3" t="s">
        <v>35</v>
      </c>
      <c r="C33" s="15">
        <f>C31/C30</f>
        <v>788.6</v>
      </c>
      <c r="D33" s="16">
        <f>C33</f>
        <v>788.6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3"/>
  <sheetViews>
    <sheetView topLeftCell="A19" workbookViewId="0">
      <selection activeCell="C32" sqref="C3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7" si="0">G$1*C3</f>
        <v>500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1200</v>
      </c>
      <c r="D11" s="5">
        <f>C11*'Valores y Totales'!C11</f>
        <v>6000</v>
      </c>
      <c r="E11" s="2">
        <f t="shared" si="0"/>
        <v>1200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37</v>
      </c>
      <c r="C26" s="2">
        <v>0</v>
      </c>
      <c r="D26" s="5">
        <f>C26*'Valores y Totales'!C45</f>
        <v>0</v>
      </c>
      <c r="E26" s="2">
        <f t="shared" si="0"/>
        <v>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15</v>
      </c>
      <c r="D30" s="11">
        <f>C30*G$1</f>
        <v>15</v>
      </c>
      <c r="E30" t="s">
        <v>39</v>
      </c>
    </row>
    <row r="31" spans="2:5" x14ac:dyDescent="0.2">
      <c r="B31" s="3" t="s">
        <v>33</v>
      </c>
      <c r="C31" s="13">
        <f>SUM(D2:D27)</f>
        <v>10505</v>
      </c>
      <c r="D31" s="12">
        <f>C31*G$1</f>
        <v>10505</v>
      </c>
    </row>
    <row r="32" spans="2:5" x14ac:dyDescent="0.2">
      <c r="B32" s="3" t="s">
        <v>38</v>
      </c>
      <c r="C32" s="13">
        <f>C31/C30</f>
        <v>700.33333333333337</v>
      </c>
      <c r="D32" s="14">
        <f>C32</f>
        <v>700.33333333333337</v>
      </c>
    </row>
    <row r="33" spans="2:4" ht="15.75" thickBot="1" x14ac:dyDescent="0.25">
      <c r="B33" s="3" t="s">
        <v>35</v>
      </c>
      <c r="C33" s="15">
        <f>C31/C30</f>
        <v>700.33333333333337</v>
      </c>
      <c r="D33" s="16">
        <f>C33</f>
        <v>700.33333333333337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A7C0-18AA-45D1-8F46-46976FF77C23}">
  <dimension ref="B1:G33"/>
  <sheetViews>
    <sheetView workbookViewId="0">
      <selection activeCell="C26" sqref="C26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7" si="0">G$1*C3</f>
        <v>500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37</v>
      </c>
      <c r="C26" s="2">
        <v>1200</v>
      </c>
      <c r="D26" s="5">
        <f>C26*'Valores y Totales'!C45</f>
        <v>7200</v>
      </c>
      <c r="E26" s="2">
        <f t="shared" si="0"/>
        <v>1200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x14ac:dyDescent="0.2">
      <c r="C29" s="9" t="s">
        <v>30</v>
      </c>
      <c r="D29" s="9" t="s">
        <v>31</v>
      </c>
    </row>
    <row r="30" spans="2:5" x14ac:dyDescent="0.2">
      <c r="B30" s="3" t="s">
        <v>32</v>
      </c>
      <c r="C30" s="10">
        <v>60</v>
      </c>
      <c r="D30" s="11">
        <f>C30*G$1</f>
        <v>60</v>
      </c>
    </row>
    <row r="31" spans="2:5" x14ac:dyDescent="0.2">
      <c r="B31" s="3" t="s">
        <v>33</v>
      </c>
      <c r="C31" s="13">
        <f>SUM(D2:D27)</f>
        <v>11685</v>
      </c>
      <c r="D31" s="12">
        <f>C31*G$1</f>
        <v>11685</v>
      </c>
    </row>
    <row r="32" spans="2:5" x14ac:dyDescent="0.2">
      <c r="B32" s="3" t="s">
        <v>38</v>
      </c>
      <c r="C32" s="13">
        <f>C31/C30</f>
        <v>194.75</v>
      </c>
      <c r="D32" s="14">
        <f>C32</f>
        <v>194.75</v>
      </c>
    </row>
    <row r="33" spans="2:4" x14ac:dyDescent="0.2">
      <c r="B33" s="3" t="s">
        <v>35</v>
      </c>
      <c r="C33" s="15">
        <f>C31/C30</f>
        <v>194.75</v>
      </c>
      <c r="D33" s="16">
        <f>C33</f>
        <v>194.75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3"/>
  <sheetViews>
    <sheetView topLeftCell="A8" workbookViewId="0">
      <selection activeCell="C31" sqref="C31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7" si="0">G$1*C3</f>
        <v>500</v>
      </c>
    </row>
    <row r="4" spans="2:7" x14ac:dyDescent="0.2">
      <c r="B4" s="2" t="s">
        <v>7</v>
      </c>
      <c r="C4" s="1">
        <v>150</v>
      </c>
      <c r="D4" s="5">
        <f>C4*'Valores y Totales'!C4</f>
        <v>225</v>
      </c>
      <c r="E4" s="2">
        <f t="shared" si="0"/>
        <v>150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37</v>
      </c>
      <c r="C26" s="2">
        <v>1200</v>
      </c>
      <c r="D26" s="5">
        <f>C26*'Valores y Totales'!C45</f>
        <v>7200</v>
      </c>
      <c r="E26" s="2">
        <f t="shared" si="0"/>
        <v>1200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15</v>
      </c>
      <c r="D30" s="11">
        <f>C30*G$1</f>
        <v>15</v>
      </c>
      <c r="E30" t="s">
        <v>39</v>
      </c>
    </row>
    <row r="31" spans="2:5" x14ac:dyDescent="0.2">
      <c r="B31" s="3" t="s">
        <v>33</v>
      </c>
      <c r="C31" s="13">
        <f>SUM(D2:D27)</f>
        <v>11685</v>
      </c>
      <c r="D31" s="12">
        <f>C31*G$1</f>
        <v>11685</v>
      </c>
    </row>
    <row r="32" spans="2:5" x14ac:dyDescent="0.2">
      <c r="B32" s="3" t="s">
        <v>38</v>
      </c>
      <c r="C32" s="13">
        <f>C31/C30</f>
        <v>779</v>
      </c>
      <c r="D32" s="14">
        <f>C32</f>
        <v>779</v>
      </c>
    </row>
    <row r="33" spans="2:4" ht="15.75" thickBot="1" x14ac:dyDescent="0.25">
      <c r="B33" s="3" t="s">
        <v>35</v>
      </c>
      <c r="C33" s="15">
        <f>C31/C30</f>
        <v>779</v>
      </c>
      <c r="D33" s="16">
        <f>C33</f>
        <v>779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33"/>
  <sheetViews>
    <sheetView topLeftCell="A13" workbookViewId="0">
      <selection activeCell="C33" sqref="C33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125</v>
      </c>
      <c r="D2" s="5">
        <f>C2*'Valores y Totales'!C2</f>
        <v>1375</v>
      </c>
      <c r="E2" s="2">
        <f>G$1*C2</f>
        <v>125</v>
      </c>
    </row>
    <row r="3" spans="2:7" x14ac:dyDescent="0.2">
      <c r="B3" s="2" t="s">
        <v>6</v>
      </c>
      <c r="C3" s="1">
        <v>300</v>
      </c>
      <c r="D3" s="5">
        <f>C3*'Valores y Totales'!C3</f>
        <v>330</v>
      </c>
      <c r="E3" s="2">
        <f t="shared" ref="E3:E27" si="0">G$1*C3</f>
        <v>300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125</v>
      </c>
      <c r="D7" s="5">
        <f>C7*'Valores y Totales'!C7</f>
        <v>175</v>
      </c>
      <c r="E7" s="2">
        <f t="shared" si="0"/>
        <v>125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8</v>
      </c>
      <c r="D16" s="5">
        <f>C16*'Valores y Totales'!C16</f>
        <v>32</v>
      </c>
      <c r="E16" s="2">
        <f t="shared" si="0"/>
        <v>8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37</v>
      </c>
      <c r="C26" s="2">
        <v>300</v>
      </c>
      <c r="D26" s="5">
        <f>C26*'Valores y Totales'!C45</f>
        <v>1800</v>
      </c>
      <c r="E26" s="2">
        <f t="shared" si="0"/>
        <v>300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0"/>
        <v>0</v>
      </c>
    </row>
    <row r="28" spans="2:5" x14ac:dyDescent="0.2">
      <c r="D28" s="6"/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48</v>
      </c>
      <c r="D30" s="11">
        <f>C30*G$1</f>
        <v>48</v>
      </c>
    </row>
    <row r="31" spans="2:5" x14ac:dyDescent="0.2">
      <c r="B31" s="3" t="s">
        <v>33</v>
      </c>
      <c r="C31" s="13">
        <f>SUM(D2:D27)</f>
        <v>4632</v>
      </c>
      <c r="D31" s="12">
        <f>C31*G$1</f>
        <v>4632</v>
      </c>
    </row>
    <row r="32" spans="2:5" x14ac:dyDescent="0.2">
      <c r="B32" s="3" t="s">
        <v>34</v>
      </c>
      <c r="C32" s="13">
        <f>C31/C30*12</f>
        <v>1158</v>
      </c>
      <c r="D32" s="14">
        <f>C32</f>
        <v>1158</v>
      </c>
    </row>
    <row r="33" spans="2:4" ht="15.75" thickBot="1" x14ac:dyDescent="0.25">
      <c r="B33" s="3" t="s">
        <v>35</v>
      </c>
      <c r="C33" s="15">
        <f>C31/C30</f>
        <v>96.5</v>
      </c>
      <c r="D33" s="16">
        <f>C33</f>
        <v>96.5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2"/>
  <sheetViews>
    <sheetView topLeftCell="A29" workbookViewId="0">
      <selection activeCell="C31" sqref="C31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60</v>
      </c>
      <c r="D2" s="5">
        <f>C2*'Valores y Totales'!C2</f>
        <v>660</v>
      </c>
      <c r="E2" s="2">
        <f>G$1*C2</f>
        <v>60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150</v>
      </c>
      <c r="D9" s="5">
        <f>C9*'Valores y Totales'!C9</f>
        <v>3900</v>
      </c>
      <c r="E9" s="2">
        <f t="shared" si="0"/>
        <v>150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400</v>
      </c>
      <c r="D11" s="5">
        <f>C11*'Valores y Totales'!C11</f>
        <v>2000</v>
      </c>
      <c r="E11" s="2">
        <f t="shared" si="0"/>
        <v>400</v>
      </c>
    </row>
    <row r="12" spans="2:7" x14ac:dyDescent="0.2">
      <c r="B12" s="2" t="s">
        <v>15</v>
      </c>
      <c r="C12" s="2">
        <v>120</v>
      </c>
      <c r="D12" s="5">
        <f>C12*'Valores y Totales'!C12</f>
        <v>1200</v>
      </c>
      <c r="E12" s="2">
        <f t="shared" si="0"/>
        <v>120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30</v>
      </c>
      <c r="D18" s="5">
        <f>C18*'Valores y Totales'!C18</f>
        <v>400</v>
      </c>
      <c r="E18" s="2">
        <f t="shared" si="0"/>
        <v>30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D27" s="6"/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32</v>
      </c>
      <c r="C29" s="10">
        <v>1</v>
      </c>
      <c r="D29" s="11">
        <f>C29*G$1</f>
        <v>1</v>
      </c>
    </row>
    <row r="30" spans="2:5" x14ac:dyDescent="0.2">
      <c r="B30" s="3" t="s">
        <v>33</v>
      </c>
      <c r="C30" s="13">
        <f>SUM(D2:D26)</f>
        <v>8160</v>
      </c>
      <c r="D30" s="12">
        <f>C30*G$1</f>
        <v>8160</v>
      </c>
    </row>
    <row r="31" spans="2:5" x14ac:dyDescent="0.2">
      <c r="B31" s="3" t="s">
        <v>34</v>
      </c>
      <c r="C31" s="13">
        <f>C30/C29*12</f>
        <v>97920</v>
      </c>
      <c r="D31" s="14">
        <f>C31</f>
        <v>97920</v>
      </c>
    </row>
    <row r="32" spans="2:5" ht="15.75" thickBot="1" x14ac:dyDescent="0.25">
      <c r="B32" s="3" t="s">
        <v>35</v>
      </c>
      <c r="C32" s="15">
        <f>C30/C29</f>
        <v>8160</v>
      </c>
      <c r="D32" s="16">
        <f>C32</f>
        <v>8160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32"/>
  <sheetViews>
    <sheetView workbookViewId="0">
      <selection activeCell="C14" sqref="C14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150</v>
      </c>
      <c r="D3" s="5">
        <f>C3*'Valores y Totales'!C3</f>
        <v>165</v>
      </c>
      <c r="E3" s="2">
        <f t="shared" ref="E3:E26" si="0">G$1*C3</f>
        <v>150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250</v>
      </c>
      <c r="D7" s="5">
        <f>C7*'Valores y Totales'!C7</f>
        <v>350</v>
      </c>
      <c r="E7" s="2">
        <f t="shared" si="0"/>
        <v>250</v>
      </c>
    </row>
    <row r="8" spans="2:7" x14ac:dyDescent="0.2">
      <c r="B8" s="2" t="s">
        <v>11</v>
      </c>
      <c r="C8" s="2">
        <v>100</v>
      </c>
      <c r="D8" s="5">
        <f>C8*'Valores y Totales'!C8</f>
        <v>210</v>
      </c>
      <c r="E8" s="2">
        <f t="shared" si="0"/>
        <v>100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20</v>
      </c>
      <c r="D16" s="5">
        <f>C16*'Valores y Totales'!C16</f>
        <v>80</v>
      </c>
      <c r="E16" s="2">
        <f t="shared" si="0"/>
        <v>20</v>
      </c>
    </row>
    <row r="17" spans="2:5" x14ac:dyDescent="0.2">
      <c r="B17" s="2" t="s">
        <v>20</v>
      </c>
      <c r="C17" s="2">
        <v>100</v>
      </c>
      <c r="D17" s="5">
        <f>C17*'Valores y Totales'!C17</f>
        <v>250</v>
      </c>
      <c r="E17" s="2">
        <f t="shared" si="0"/>
        <v>100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D27" s="6"/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32</v>
      </c>
      <c r="C29" s="10">
        <v>25</v>
      </c>
      <c r="D29" s="11">
        <f>C29*G$1</f>
        <v>25</v>
      </c>
    </row>
    <row r="30" spans="2:5" x14ac:dyDescent="0.2">
      <c r="B30" s="3" t="s">
        <v>33</v>
      </c>
      <c r="C30" s="13">
        <f>SUM(D2:D20)</f>
        <v>3335</v>
      </c>
      <c r="D30" s="12">
        <f>C30*G$1</f>
        <v>3335</v>
      </c>
    </row>
    <row r="31" spans="2:5" x14ac:dyDescent="0.2">
      <c r="B31" s="3" t="s">
        <v>34</v>
      </c>
      <c r="C31" s="13">
        <f>C30/C29*12</f>
        <v>1600.8000000000002</v>
      </c>
      <c r="D31" s="14">
        <f>C31</f>
        <v>1600.8000000000002</v>
      </c>
    </row>
    <row r="32" spans="2:5" ht="15.75" thickBot="1" x14ac:dyDescent="0.25">
      <c r="B32" s="3" t="s">
        <v>35</v>
      </c>
      <c r="C32" s="15">
        <f>C30/C29</f>
        <v>133.4</v>
      </c>
      <c r="D32" s="16">
        <f>C32</f>
        <v>133.4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56"/>
  <sheetViews>
    <sheetView topLeftCell="A33" workbookViewId="0">
      <selection activeCell="F43" sqref="F43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style="2" bestFit="1" customWidth="1"/>
    <col min="7" max="8" width="11.43359375" style="2"/>
  </cols>
  <sheetData>
    <row r="1" spans="2:10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  <c r="H1"/>
      <c r="J1" s="26"/>
    </row>
    <row r="2" spans="2:10" x14ac:dyDescent="0.2">
      <c r="B2" s="2" t="s">
        <v>5</v>
      </c>
      <c r="C2" s="1">
        <v>110</v>
      </c>
      <c r="D2" s="5">
        <f>C2*'Valores y Totales'!C2</f>
        <v>1210</v>
      </c>
      <c r="E2" s="2">
        <f t="shared" ref="E2:E31" si="0">G$1*C2</f>
        <v>110</v>
      </c>
      <c r="F2"/>
      <c r="G2"/>
      <c r="H2"/>
      <c r="J2" s="26"/>
    </row>
    <row r="3" spans="2:10" x14ac:dyDescent="0.2">
      <c r="B3" s="2" t="s">
        <v>6</v>
      </c>
      <c r="C3" s="1">
        <v>0</v>
      </c>
      <c r="D3" s="5">
        <f>C3*'Valores y Totales'!C3</f>
        <v>0</v>
      </c>
      <c r="E3" s="2">
        <f t="shared" si="0"/>
        <v>0</v>
      </c>
      <c r="F3"/>
      <c r="G3"/>
      <c r="H3"/>
    </row>
    <row r="4" spans="2:10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F4"/>
      <c r="G4"/>
      <c r="H4"/>
    </row>
    <row r="5" spans="2:10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  <c r="F5"/>
      <c r="G5"/>
      <c r="H5"/>
    </row>
    <row r="6" spans="2:10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  <c r="F6"/>
      <c r="G6"/>
      <c r="H6"/>
    </row>
    <row r="7" spans="2:10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  <c r="F7"/>
      <c r="G7"/>
      <c r="H7"/>
    </row>
    <row r="8" spans="2:10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  <c r="F8"/>
      <c r="G8"/>
      <c r="H8"/>
    </row>
    <row r="9" spans="2:10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  <c r="F9"/>
      <c r="G9"/>
      <c r="H9"/>
    </row>
    <row r="10" spans="2:10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F10"/>
      <c r="G10"/>
      <c r="H10"/>
    </row>
    <row r="11" spans="2:10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  <c r="F11"/>
      <c r="G11"/>
      <c r="H11"/>
    </row>
    <row r="12" spans="2:10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  <c r="F12"/>
      <c r="G12"/>
      <c r="H12"/>
    </row>
    <row r="13" spans="2:10" x14ac:dyDescent="0.2">
      <c r="B13" s="2" t="s">
        <v>16</v>
      </c>
      <c r="C13" s="2">
        <v>250</v>
      </c>
      <c r="D13" s="5">
        <f>C13*'Valores y Totales'!C13</f>
        <v>525</v>
      </c>
      <c r="E13" s="2">
        <f t="shared" si="0"/>
        <v>250</v>
      </c>
      <c r="F13"/>
      <c r="G13"/>
      <c r="H13"/>
    </row>
    <row r="14" spans="2:10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  <c r="F14"/>
      <c r="G14"/>
      <c r="H14"/>
    </row>
    <row r="15" spans="2:10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  <c r="F15"/>
      <c r="G15"/>
      <c r="H15"/>
    </row>
    <row r="16" spans="2:10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  <c r="F16"/>
      <c r="G16"/>
      <c r="H16"/>
    </row>
    <row r="17" spans="2:8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  <c r="F17"/>
      <c r="G17"/>
      <c r="H17"/>
    </row>
    <row r="18" spans="2:8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  <c r="F18"/>
      <c r="G18"/>
      <c r="H18"/>
    </row>
    <row r="19" spans="2:8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  <c r="F19"/>
      <c r="G19"/>
      <c r="H19"/>
    </row>
    <row r="20" spans="2:8" x14ac:dyDescent="0.2">
      <c r="B20" s="2" t="s">
        <v>23</v>
      </c>
      <c r="C20" s="2">
        <v>160</v>
      </c>
      <c r="D20" s="5">
        <f>C20*'Valores y Totales'!C20</f>
        <v>368</v>
      </c>
      <c r="E20" s="2">
        <f t="shared" si="0"/>
        <v>160</v>
      </c>
      <c r="F20"/>
      <c r="G20"/>
      <c r="H20"/>
    </row>
    <row r="21" spans="2:8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  <c r="F21"/>
      <c r="G21"/>
      <c r="H21"/>
    </row>
    <row r="22" spans="2:8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  <c r="F22"/>
      <c r="G22"/>
      <c r="H22"/>
    </row>
    <row r="23" spans="2:8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  <c r="F23"/>
      <c r="G23"/>
      <c r="H23"/>
    </row>
    <row r="24" spans="2:8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  <c r="F24"/>
      <c r="G24"/>
      <c r="H24"/>
    </row>
    <row r="25" spans="2:8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  <c r="F25"/>
      <c r="G25"/>
      <c r="H25"/>
    </row>
    <row r="26" spans="2:8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  <c r="F26"/>
      <c r="G26"/>
      <c r="H26"/>
    </row>
    <row r="27" spans="2:8" x14ac:dyDescent="0.2">
      <c r="B27" s="2" t="s">
        <v>42</v>
      </c>
      <c r="C27" s="2">
        <v>0</v>
      </c>
      <c r="D27" s="5">
        <f>C27*'Valores y Totales'!C27</f>
        <v>0</v>
      </c>
      <c r="E27" s="2">
        <f t="shared" si="0"/>
        <v>0</v>
      </c>
      <c r="F27"/>
      <c r="G27"/>
      <c r="H27"/>
    </row>
    <row r="28" spans="2:8" x14ac:dyDescent="0.2">
      <c r="B28" s="27" t="s">
        <v>43</v>
      </c>
      <c r="C28" s="2">
        <v>0</v>
      </c>
      <c r="D28" s="5">
        <f>C28*'Valores y Totales'!C28</f>
        <v>0</v>
      </c>
      <c r="E28" s="2">
        <f t="shared" si="0"/>
        <v>0</v>
      </c>
      <c r="F28"/>
      <c r="G28"/>
      <c r="H28"/>
    </row>
    <row r="29" spans="2:8" x14ac:dyDescent="0.2">
      <c r="B29" s="2" t="s">
        <v>44</v>
      </c>
      <c r="C29" s="2">
        <v>0</v>
      </c>
      <c r="D29" s="5">
        <f>C29*'Valores y Totales'!C29</f>
        <v>0</v>
      </c>
      <c r="E29" s="2">
        <f t="shared" si="0"/>
        <v>0</v>
      </c>
      <c r="F29"/>
      <c r="G29"/>
      <c r="H29"/>
    </row>
    <row r="30" spans="2:8" x14ac:dyDescent="0.2">
      <c r="B30" s="2" t="s">
        <v>45</v>
      </c>
      <c r="C30" s="2">
        <v>0</v>
      </c>
      <c r="D30" s="5">
        <f>C30*'Valores y Totales'!C30</f>
        <v>0</v>
      </c>
      <c r="E30" s="2">
        <f t="shared" si="0"/>
        <v>0</v>
      </c>
      <c r="F30"/>
      <c r="G30"/>
      <c r="H30"/>
    </row>
    <row r="31" spans="2:8" x14ac:dyDescent="0.2">
      <c r="B31" s="2" t="s">
        <v>46</v>
      </c>
      <c r="C31" s="2">
        <v>0</v>
      </c>
      <c r="D31" s="5">
        <f>C31*'Valores y Totales'!C31</f>
        <v>0</v>
      </c>
      <c r="E31" s="2">
        <f t="shared" si="0"/>
        <v>0</v>
      </c>
      <c r="F31"/>
      <c r="G31"/>
      <c r="H31"/>
    </row>
    <row r="32" spans="2:8" x14ac:dyDescent="0.2">
      <c r="B32" s="2" t="s">
        <v>47</v>
      </c>
      <c r="C32" s="2">
        <v>12</v>
      </c>
      <c r="D32" s="2">
        <v>30</v>
      </c>
      <c r="E32" s="2"/>
      <c r="F32"/>
      <c r="G32"/>
      <c r="H32"/>
    </row>
    <row r="33" spans="2:8" x14ac:dyDescent="0.2">
      <c r="F33"/>
      <c r="G33"/>
      <c r="H33"/>
    </row>
    <row r="34" spans="2:8" x14ac:dyDescent="0.2">
      <c r="F34"/>
      <c r="G34"/>
      <c r="H34"/>
    </row>
    <row r="35" spans="2:8" x14ac:dyDescent="0.2">
      <c r="F35"/>
      <c r="G35"/>
      <c r="H35"/>
    </row>
    <row r="36" spans="2:8" ht="15.75" thickBot="1" x14ac:dyDescent="0.25">
      <c r="C36" s="9" t="s">
        <v>30</v>
      </c>
      <c r="D36" s="9" t="s">
        <v>31</v>
      </c>
      <c r="F36"/>
      <c r="G36"/>
      <c r="H36"/>
    </row>
    <row r="37" spans="2:8" x14ac:dyDescent="0.2">
      <c r="B37" s="3" t="s">
        <v>48</v>
      </c>
      <c r="C37" s="10">
        <v>12</v>
      </c>
      <c r="D37" s="11">
        <f>C37*G$1</f>
        <v>12</v>
      </c>
      <c r="F37"/>
      <c r="G37"/>
      <c r="H37"/>
    </row>
    <row r="38" spans="2:8" x14ac:dyDescent="0.2">
      <c r="B38" s="3" t="s">
        <v>33</v>
      </c>
      <c r="C38" s="13">
        <f>SUM(D2:D32)</f>
        <v>4203</v>
      </c>
      <c r="D38" s="12">
        <f>C38*G$1</f>
        <v>4203</v>
      </c>
      <c r="F38"/>
      <c r="G38"/>
      <c r="H38"/>
    </row>
    <row r="39" spans="2:8" x14ac:dyDescent="0.2">
      <c r="B39" s="3"/>
      <c r="C39" s="13"/>
      <c r="D39" s="14"/>
      <c r="F39"/>
      <c r="G39"/>
      <c r="H39"/>
    </row>
    <row r="40" spans="2:8" ht="15.75" thickBot="1" x14ac:dyDescent="0.25">
      <c r="B40" s="3"/>
      <c r="C40" s="15"/>
      <c r="D40" s="16"/>
      <c r="F40"/>
      <c r="G40"/>
      <c r="H40"/>
    </row>
    <row r="41" spans="2:8" x14ac:dyDescent="0.2">
      <c r="F41"/>
      <c r="G41"/>
      <c r="H41"/>
    </row>
    <row r="42" spans="2:8" x14ac:dyDescent="0.2">
      <c r="F42"/>
      <c r="G42"/>
      <c r="H42"/>
    </row>
    <row r="43" spans="2:8" x14ac:dyDescent="0.2">
      <c r="F43"/>
      <c r="G43"/>
      <c r="H43"/>
    </row>
    <row r="44" spans="2:8" x14ac:dyDescent="0.2">
      <c r="F44"/>
      <c r="G44"/>
      <c r="H44"/>
    </row>
    <row r="45" spans="2:8" x14ac:dyDescent="0.2">
      <c r="F45"/>
      <c r="G45"/>
      <c r="H45"/>
    </row>
    <row r="46" spans="2:8" x14ac:dyDescent="0.2">
      <c r="F46"/>
      <c r="G46"/>
      <c r="H46"/>
    </row>
    <row r="47" spans="2:8" x14ac:dyDescent="0.2">
      <c r="F47"/>
      <c r="G47"/>
      <c r="H47"/>
    </row>
    <row r="48" spans="2:8" x14ac:dyDescent="0.2">
      <c r="F48"/>
      <c r="G48"/>
      <c r="H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32"/>
  <sheetViews>
    <sheetView topLeftCell="A13" workbookViewId="0">
      <selection activeCell="C35" sqref="C3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/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/>
      <c r="D3" s="5">
        <f>C3*'Valores y Totales'!C3</f>
        <v>0</v>
      </c>
      <c r="E3" s="2">
        <f t="shared" ref="E3:E21" si="0">G$1*C3</f>
        <v>0</v>
      </c>
    </row>
    <row r="4" spans="2:7" x14ac:dyDescent="0.2">
      <c r="B4" s="2" t="s">
        <v>7</v>
      </c>
      <c r="C4" s="1"/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/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/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/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/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>
        <v>270</v>
      </c>
      <c r="D9" s="5">
        <f>C9*'Valores y Totales'!C9</f>
        <v>7020</v>
      </c>
      <c r="E9" s="2">
        <f>G$1*C9</f>
        <v>270</v>
      </c>
    </row>
    <row r="10" spans="2:7" x14ac:dyDescent="0.2">
      <c r="B10" s="2" t="s">
        <v>13</v>
      </c>
      <c r="C10" s="2"/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250</v>
      </c>
      <c r="D11" s="5">
        <f>C11*'Valores y Totales'!C11</f>
        <v>1250</v>
      </c>
      <c r="E11" s="2">
        <f t="shared" si="0"/>
        <v>250</v>
      </c>
    </row>
    <row r="12" spans="2:7" x14ac:dyDescent="0.2">
      <c r="B12" s="2" t="s">
        <v>15</v>
      </c>
      <c r="C12" s="2">
        <v>300</v>
      </c>
      <c r="D12" s="5">
        <f>C12*'Valores y Totales'!C12</f>
        <v>3000</v>
      </c>
      <c r="E12" s="2">
        <f t="shared" si="0"/>
        <v>300</v>
      </c>
    </row>
    <row r="13" spans="2:7" x14ac:dyDescent="0.2">
      <c r="B13" s="2" t="s">
        <v>16</v>
      </c>
      <c r="C13" s="2"/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/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/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/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/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/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/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/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/>
      <c r="D22" s="5">
        <f>C22*'Valores y Totales'!C22</f>
        <v>0</v>
      </c>
      <c r="E22" s="2">
        <f>G$1*C22</f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>G$1*C23</f>
        <v>0</v>
      </c>
    </row>
    <row r="24" spans="2:5" x14ac:dyDescent="0.2">
      <c r="B24" s="2" t="s">
        <v>27</v>
      </c>
      <c r="C24" s="2">
        <v>0</v>
      </c>
      <c r="D24" s="5">
        <v>0</v>
      </c>
      <c r="E24" s="2">
        <f>G$1*C24</f>
        <v>0</v>
      </c>
    </row>
    <row r="25" spans="2:5" x14ac:dyDescent="0.2">
      <c r="B25" s="2" t="s">
        <v>28</v>
      </c>
      <c r="C25" s="2">
        <v>0</v>
      </c>
      <c r="D25" s="5">
        <v>0</v>
      </c>
      <c r="E25" s="2">
        <f>G$1*C25</f>
        <v>0</v>
      </c>
    </row>
    <row r="26" spans="2:5" x14ac:dyDescent="0.2">
      <c r="B26" s="2" t="s">
        <v>29</v>
      </c>
      <c r="C26" s="2">
        <v>0</v>
      </c>
      <c r="D26" s="5">
        <v>0</v>
      </c>
      <c r="E26" s="2">
        <f>G$1*C26</f>
        <v>0</v>
      </c>
    </row>
    <row r="27" spans="2:5" x14ac:dyDescent="0.2">
      <c r="C27" s="18"/>
      <c r="D27" s="21"/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48</v>
      </c>
      <c r="C29" s="10">
        <v>1</v>
      </c>
      <c r="D29" s="11">
        <v>1</v>
      </c>
    </row>
    <row r="30" spans="2:5" x14ac:dyDescent="0.2">
      <c r="B30" s="3" t="s">
        <v>33</v>
      </c>
      <c r="C30" s="13">
        <f>SUM(D2:D22)</f>
        <v>11270</v>
      </c>
      <c r="D30" s="12">
        <f>C30*G$1</f>
        <v>11270</v>
      </c>
    </row>
    <row r="31" spans="2:5" x14ac:dyDescent="0.2">
      <c r="B31" s="3" t="s">
        <v>34</v>
      </c>
      <c r="C31" s="13">
        <v>0</v>
      </c>
      <c r="D31" s="14">
        <f>C31</f>
        <v>0</v>
      </c>
    </row>
    <row r="32" spans="2:5" ht="15.75" thickBot="1" x14ac:dyDescent="0.25">
      <c r="B32" s="3" t="s">
        <v>35</v>
      </c>
      <c r="C32" s="15">
        <f>C30/C29</f>
        <v>11270</v>
      </c>
      <c r="D32" s="16">
        <f>C32</f>
        <v>11270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31"/>
  <sheetViews>
    <sheetView topLeftCell="C2" workbookViewId="0">
      <selection activeCell="D2" sqref="D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300</v>
      </c>
      <c r="D3" s="5">
        <f>C3*'Valores y Totales'!C3</f>
        <v>330</v>
      </c>
      <c r="E3" s="2">
        <f t="shared" ref="E3:E26" si="0">G$1*C3</f>
        <v>300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100</v>
      </c>
      <c r="D5" s="5">
        <f>C5*'Valores y Totales'!C5</f>
        <v>2500</v>
      </c>
      <c r="E5" s="2">
        <f t="shared" si="0"/>
        <v>100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250</v>
      </c>
      <c r="D7" s="5">
        <f>C7*'Valores y Totales'!C7</f>
        <v>350</v>
      </c>
      <c r="E7" s="2">
        <f t="shared" si="0"/>
        <v>250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270</v>
      </c>
      <c r="D17" s="5">
        <f>C17*'Valores y Totales'!C17</f>
        <v>675</v>
      </c>
      <c r="E17" s="2">
        <f t="shared" si="0"/>
        <v>270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250</v>
      </c>
      <c r="D20" s="5">
        <f>C20*'Valores y Totales'!C20</f>
        <v>575</v>
      </c>
      <c r="E20" s="2">
        <f t="shared" si="0"/>
        <v>250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7210</v>
      </c>
      <c r="D30" s="12">
        <v>1</v>
      </c>
    </row>
    <row r="31" spans="2:6" ht="15.75" thickBot="1" x14ac:dyDescent="0.25">
      <c r="B31" s="3" t="s">
        <v>35</v>
      </c>
      <c r="C31" s="15">
        <f>C30/C29</f>
        <v>7210</v>
      </c>
      <c r="D31" s="16">
        <f>C31</f>
        <v>7210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32"/>
  <sheetViews>
    <sheetView topLeftCell="A13" workbookViewId="0">
      <selection activeCell="B35" sqref="B3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75</v>
      </c>
      <c r="D2" s="5">
        <f>C2*'Valores y Totales'!C2</f>
        <v>825</v>
      </c>
      <c r="E2" s="2">
        <f>G$1*C2</f>
        <v>75</v>
      </c>
    </row>
    <row r="3" spans="2:7" x14ac:dyDescent="0.2">
      <c r="B3" s="2" t="s">
        <v>6</v>
      </c>
      <c r="C3" s="1">
        <v>270</v>
      </c>
      <c r="D3" s="5">
        <f>C3*'Valores y Totales'!C3</f>
        <v>297</v>
      </c>
      <c r="E3" s="2">
        <f t="shared" ref="E3:E26" si="0">G$1*C3</f>
        <v>270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165</v>
      </c>
      <c r="D7" s="5">
        <f>C7*'Valores y Totales'!C7</f>
        <v>230.99999999999997</v>
      </c>
      <c r="E7" s="2">
        <f t="shared" si="0"/>
        <v>165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170</v>
      </c>
      <c r="D9" s="5">
        <f>C9*'Valores y Totales'!C9</f>
        <v>4420</v>
      </c>
      <c r="E9" s="2">
        <f t="shared" si="0"/>
        <v>170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225</v>
      </c>
      <c r="D12" s="5">
        <f>C12*'Valores y Totales'!C12</f>
        <v>2250</v>
      </c>
      <c r="E12" s="2">
        <f t="shared" si="0"/>
        <v>225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120</v>
      </c>
      <c r="D17" s="5">
        <f>C17*'Valores y Totales'!C17</f>
        <v>300</v>
      </c>
      <c r="E17" s="2">
        <f t="shared" si="0"/>
        <v>120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45</v>
      </c>
      <c r="D20" s="5">
        <f>C20*'Valores y Totales'!C20</f>
        <v>103.49999999999999</v>
      </c>
      <c r="E20" s="2">
        <f t="shared" si="0"/>
        <v>45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SUM(D2:D26)</f>
        <v>8846.5</v>
      </c>
      <c r="D30" s="12">
        <f>C30*G$1</f>
        <v>8846.5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8846.5</v>
      </c>
      <c r="D32" s="16">
        <f>C32</f>
        <v>8846.5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32"/>
  <sheetViews>
    <sheetView topLeftCell="A14" workbookViewId="0">
      <selection activeCell="C36" sqref="C36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300</v>
      </c>
      <c r="D4" s="5">
        <f>C4*'Valores y Totales'!C4</f>
        <v>450</v>
      </c>
      <c r="E4" s="2">
        <f t="shared" si="0"/>
        <v>300</v>
      </c>
    </row>
    <row r="5" spans="2:7" x14ac:dyDescent="0.2">
      <c r="B5" s="2" t="s">
        <v>8</v>
      </c>
      <c r="C5" s="1">
        <v>45</v>
      </c>
      <c r="D5" s="5">
        <f>C5*'Valores y Totales'!C5</f>
        <v>1125</v>
      </c>
      <c r="E5" s="2">
        <f t="shared" si="0"/>
        <v>45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30</v>
      </c>
      <c r="D17" s="5">
        <f>C17*'Valores y Totales'!C17</f>
        <v>75</v>
      </c>
      <c r="E17" s="2">
        <f t="shared" si="0"/>
        <v>30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SUM(D2:D26)</f>
        <v>4400</v>
      </c>
      <c r="D30" s="12">
        <f>C30*G$1</f>
        <v>4400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4400</v>
      </c>
      <c r="D32" s="16">
        <f>C32</f>
        <v>4400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G32"/>
  <sheetViews>
    <sheetView topLeftCell="A14" workbookViewId="0">
      <selection activeCell="C31" sqref="C31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6" si="0">G$1*C3</f>
        <v>250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30</v>
      </c>
      <c r="D5" s="5">
        <f>C5*'Valores y Totales'!C5</f>
        <v>750</v>
      </c>
      <c r="E5" s="2">
        <f t="shared" si="0"/>
        <v>30</v>
      </c>
    </row>
    <row r="6" spans="2:7" x14ac:dyDescent="0.2">
      <c r="B6" s="1" t="s">
        <v>9</v>
      </c>
      <c r="C6" s="1">
        <v>6</v>
      </c>
      <c r="D6" s="5">
        <f>C6*'Valores y Totales'!B6</f>
        <v>1260</v>
      </c>
      <c r="E6" s="2">
        <f t="shared" si="0"/>
        <v>6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100</v>
      </c>
      <c r="D9" s="5">
        <f>C9*'Valores y Totales'!C9</f>
        <v>2600</v>
      </c>
      <c r="E9" s="2">
        <f t="shared" si="0"/>
        <v>100</v>
      </c>
    </row>
    <row r="10" spans="2:7" x14ac:dyDescent="0.2">
      <c r="B10" s="2" t="s">
        <v>13</v>
      </c>
      <c r="C10" s="2">
        <v>100</v>
      </c>
      <c r="D10" s="5">
        <f>C10*'Valores y Totales'!C10</f>
        <v>2200</v>
      </c>
      <c r="E10" s="2">
        <f t="shared" si="0"/>
        <v>100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8</v>
      </c>
      <c r="D16" s="5">
        <f>C16*'Valores y Totales'!C16</f>
        <v>32</v>
      </c>
      <c r="E16" s="2">
        <f t="shared" si="0"/>
        <v>8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510</v>
      </c>
      <c r="D20" s="5">
        <f>C20*'Valores y Totales'!C20</f>
        <v>1173</v>
      </c>
      <c r="E20" s="2">
        <f t="shared" si="0"/>
        <v>510</v>
      </c>
    </row>
    <row r="21" spans="2:5" x14ac:dyDescent="0.2">
      <c r="B21" s="2" t="s">
        <v>41</v>
      </c>
      <c r="C21" s="2">
        <v>100</v>
      </c>
      <c r="D21" s="5">
        <f>C21*'Valores y Totales'!C21</f>
        <v>1000</v>
      </c>
      <c r="E21" s="2">
        <f t="shared" si="0"/>
        <v>100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49</v>
      </c>
      <c r="C29" s="10">
        <v>1</v>
      </c>
      <c r="D29" s="11">
        <f>C29*G$1</f>
        <v>1</v>
      </c>
    </row>
    <row r="30" spans="2:5" x14ac:dyDescent="0.2">
      <c r="B30" s="3" t="s">
        <v>33</v>
      </c>
      <c r="C30" s="13">
        <f>SUM(D2:D26)</f>
        <v>11490</v>
      </c>
      <c r="D30" s="12">
        <f>C30*G$1</f>
        <v>11490</v>
      </c>
    </row>
    <row r="31" spans="2:5" x14ac:dyDescent="0.2">
      <c r="B31" s="3" t="s">
        <v>34</v>
      </c>
      <c r="C31" s="13"/>
      <c r="D31" s="14">
        <f>C31</f>
        <v>0</v>
      </c>
    </row>
    <row r="32" spans="2:5" ht="15.75" thickBot="1" x14ac:dyDescent="0.25">
      <c r="B32" s="3" t="s">
        <v>35</v>
      </c>
      <c r="C32" s="15">
        <f>C30/C29</f>
        <v>11490</v>
      </c>
      <c r="D32" s="16">
        <f>C32</f>
        <v>11490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G32"/>
  <sheetViews>
    <sheetView topLeftCell="A13" workbookViewId="0">
      <selection activeCell="C32" sqref="C3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6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50</v>
      </c>
      <c r="D8" s="5">
        <f>C8*'Valores y Totales'!C8</f>
        <v>105</v>
      </c>
      <c r="E8" s="2">
        <f t="shared" si="0"/>
        <v>50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100</v>
      </c>
      <c r="D20" s="5">
        <f>C20*'Valores y Totales'!C20</f>
        <v>229.99999999999997</v>
      </c>
      <c r="E20" s="2">
        <f t="shared" si="0"/>
        <v>100</v>
      </c>
    </row>
    <row r="21" spans="2:6" x14ac:dyDescent="0.2">
      <c r="B21" s="2" t="s">
        <v>41</v>
      </c>
      <c r="C21" s="2">
        <v>400</v>
      </c>
      <c r="D21" s="5">
        <f>C21*'Valores y Totales'!C21</f>
        <v>4000</v>
      </c>
      <c r="E21" s="2">
        <f t="shared" si="0"/>
        <v>400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50</v>
      </c>
      <c r="C25" s="2">
        <f>11*C29</f>
        <v>440</v>
      </c>
      <c r="D25" s="5">
        <f>C25*'Valores y Totales'!C47</f>
        <v>378.4</v>
      </c>
      <c r="E25" s="2">
        <f t="shared" si="0"/>
        <v>440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19" t="s">
        <v>30</v>
      </c>
      <c r="D28" s="19" t="s">
        <v>31</v>
      </c>
    </row>
    <row r="29" spans="2:6" x14ac:dyDescent="0.2">
      <c r="B29" s="3" t="s">
        <v>49</v>
      </c>
      <c r="C29" s="10">
        <v>40</v>
      </c>
      <c r="D29" s="11">
        <f>C29*G$1</f>
        <v>40</v>
      </c>
    </row>
    <row r="30" spans="2:6" x14ac:dyDescent="0.2">
      <c r="B30" s="3" t="s">
        <v>33</v>
      </c>
      <c r="C30" s="13">
        <f>SUM(D2:D26)</f>
        <v>8463.4</v>
      </c>
      <c r="D30" s="12">
        <f>C30*G$1</f>
        <v>8463.4</v>
      </c>
    </row>
    <row r="31" spans="2:6" x14ac:dyDescent="0.2">
      <c r="B31" s="3" t="s">
        <v>34</v>
      </c>
      <c r="C31" s="13"/>
      <c r="D31" s="14"/>
    </row>
    <row r="32" spans="2:6" ht="15.75" thickBot="1" x14ac:dyDescent="0.25">
      <c r="B32" s="3" t="s">
        <v>35</v>
      </c>
      <c r="C32" s="15">
        <f>C30/C29</f>
        <v>211.58499999999998</v>
      </c>
      <c r="D32" s="16">
        <f>C32</f>
        <v>211.58499999999998</v>
      </c>
      <c r="F32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32"/>
  <sheetViews>
    <sheetView topLeftCell="A13" workbookViewId="0">
      <selection activeCell="C30" sqref="C30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6" si="0">G$1*C3</f>
        <v>250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Totales'!C6</f>
        <v>210</v>
      </c>
      <c r="E6" s="2">
        <f t="shared" si="0"/>
        <v>1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300</v>
      </c>
      <c r="D10" s="5">
        <f>C10*'Valores y Totales'!C10</f>
        <v>6600</v>
      </c>
      <c r="E10" s="2">
        <f t="shared" si="0"/>
        <v>300</v>
      </c>
    </row>
    <row r="11" spans="2:7" x14ac:dyDescent="0.2">
      <c r="B11" s="2" t="s">
        <v>14</v>
      </c>
      <c r="C11" s="2">
        <v>1200</v>
      </c>
      <c r="D11" s="5">
        <f>C11*'Valores y Totales'!C11</f>
        <v>6000</v>
      </c>
      <c r="E11" s="2">
        <f t="shared" si="0"/>
        <v>1200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200</v>
      </c>
      <c r="D20" s="5">
        <f>C20*'Valores y Totales'!C20</f>
        <v>459.99999999999994</v>
      </c>
      <c r="E20" s="2">
        <f t="shared" si="0"/>
        <v>200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65</v>
      </c>
      <c r="D29" s="11">
        <f>C29*G$1</f>
        <v>65</v>
      </c>
    </row>
    <row r="30" spans="2:5" x14ac:dyDescent="0.2">
      <c r="B30" s="8" t="s">
        <v>33</v>
      </c>
      <c r="C30" s="13">
        <f>SUM(D2:D26)</f>
        <v>15745</v>
      </c>
      <c r="D30" s="12">
        <f>C30*G$1</f>
        <v>15745</v>
      </c>
    </row>
    <row r="31" spans="2:5" x14ac:dyDescent="0.2">
      <c r="B31" s="8" t="s">
        <v>34</v>
      </c>
      <c r="C31" s="13"/>
      <c r="D31" s="14">
        <f>C31</f>
        <v>0</v>
      </c>
    </row>
    <row r="32" spans="2:5" ht="15.75" thickBot="1" x14ac:dyDescent="0.25">
      <c r="B32" s="8" t="s">
        <v>35</v>
      </c>
      <c r="C32" s="15">
        <f>C30/C29</f>
        <v>242.23076923076923</v>
      </c>
      <c r="D32" s="16">
        <f>C32</f>
        <v>242.23076923076923</v>
      </c>
    </row>
  </sheetData>
  <pageMargins left="0.7" right="0.7" top="0.75" bottom="0.75" header="0.3" footer="0.3"/>
  <pageSetup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32"/>
  <sheetViews>
    <sheetView topLeftCell="A15" workbookViewId="0">
      <selection activeCell="C30" sqref="C30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6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50</v>
      </c>
      <c r="D8" s="5">
        <f>C8*'Valores y Totales'!C8</f>
        <v>105</v>
      </c>
      <c r="E8" s="2">
        <f t="shared" si="0"/>
        <v>50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f>20*C29</f>
        <v>800</v>
      </c>
      <c r="D11" s="5">
        <f>C11*'Valores y Totales'!C11</f>
        <v>4000</v>
      </c>
      <c r="E11" s="2">
        <f t="shared" si="0"/>
        <v>800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100</v>
      </c>
      <c r="D20" s="5">
        <f>C20*'Valores y Totales'!C20</f>
        <v>229.99999999999997</v>
      </c>
      <c r="E20" s="2">
        <f t="shared" si="0"/>
        <v>100</v>
      </c>
    </row>
    <row r="21" spans="2:6" x14ac:dyDescent="0.2">
      <c r="B21" s="2" t="s">
        <v>41</v>
      </c>
      <c r="C21" s="2">
        <v>400</v>
      </c>
      <c r="D21" s="5">
        <f>C21*'Valores y Totales'!C21</f>
        <v>4000</v>
      </c>
      <c r="E21" s="2">
        <f t="shared" si="0"/>
        <v>400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19" t="s">
        <v>30</v>
      </c>
      <c r="D28" s="19" t="s">
        <v>31</v>
      </c>
    </row>
    <row r="29" spans="2:6" x14ac:dyDescent="0.2">
      <c r="B29" s="3" t="s">
        <v>49</v>
      </c>
      <c r="C29" s="10">
        <v>40</v>
      </c>
      <c r="D29" s="11">
        <f>C29*G$1</f>
        <v>40</v>
      </c>
    </row>
    <row r="30" spans="2:6" x14ac:dyDescent="0.2">
      <c r="B30" s="3" t="s">
        <v>33</v>
      </c>
      <c r="C30" s="13">
        <f>SUM(D2:D26)</f>
        <v>12085</v>
      </c>
      <c r="D30" s="12">
        <f>C30*G$1</f>
        <v>12085</v>
      </c>
    </row>
    <row r="31" spans="2:6" x14ac:dyDescent="0.2">
      <c r="B31" s="3" t="s">
        <v>34</v>
      </c>
      <c r="C31" s="13"/>
      <c r="D31" s="14"/>
    </row>
    <row r="32" spans="2:6" ht="15.75" thickBot="1" x14ac:dyDescent="0.25">
      <c r="B32" s="3" t="s">
        <v>35</v>
      </c>
      <c r="C32" s="15">
        <f>C30/C29</f>
        <v>302.125</v>
      </c>
      <c r="D32" s="16">
        <f>C32</f>
        <v>302.125</v>
      </c>
      <c r="F32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33"/>
  <sheetViews>
    <sheetView topLeftCell="A19" workbookViewId="0">
      <selection activeCell="C31" sqref="C31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36</v>
      </c>
      <c r="C3" s="1">
        <v>125</v>
      </c>
      <c r="D3" s="5">
        <f>C3*'Valores y Totales'!C44</f>
        <v>1500</v>
      </c>
      <c r="E3" s="2"/>
    </row>
    <row r="4" spans="2:7" x14ac:dyDescent="0.2">
      <c r="B4" s="2" t="s">
        <v>6</v>
      </c>
      <c r="C4" s="1">
        <v>200</v>
      </c>
      <c r="D4" s="5">
        <f>C4*'Valores y Totales'!C3</f>
        <v>220.00000000000003</v>
      </c>
      <c r="E4" s="2">
        <f t="shared" ref="E4:E16" si="0">G$1*C4</f>
        <v>200</v>
      </c>
    </row>
    <row r="5" spans="2:7" x14ac:dyDescent="0.2">
      <c r="B5" s="2" t="s">
        <v>7</v>
      </c>
      <c r="C5" s="1">
        <v>0</v>
      </c>
      <c r="D5" s="5">
        <f>C5*'Valores y Totales'!C4</f>
        <v>0</v>
      </c>
      <c r="E5" s="2">
        <f t="shared" si="0"/>
        <v>0</v>
      </c>
    </row>
    <row r="6" spans="2:7" x14ac:dyDescent="0.2">
      <c r="B6" s="2" t="s">
        <v>8</v>
      </c>
      <c r="C6" s="1">
        <v>0</v>
      </c>
      <c r="D6" s="5">
        <f>C6*'Valores y Totales'!C5</f>
        <v>0</v>
      </c>
      <c r="E6" s="2">
        <f t="shared" si="0"/>
        <v>0</v>
      </c>
    </row>
    <row r="7" spans="2:7" x14ac:dyDescent="0.2">
      <c r="B7" s="1" t="s">
        <v>9</v>
      </c>
      <c r="C7" s="1">
        <v>2</v>
      </c>
      <c r="D7" s="5">
        <f>C7*'Valores y Totales'!B6</f>
        <v>420</v>
      </c>
      <c r="E7" s="2">
        <f t="shared" si="0"/>
        <v>2</v>
      </c>
    </row>
    <row r="8" spans="2:7" x14ac:dyDescent="0.2">
      <c r="B8" s="2" t="s">
        <v>10</v>
      </c>
      <c r="C8" s="2">
        <v>150</v>
      </c>
      <c r="D8" s="5">
        <f>C8*'Valores y Totales'!C7</f>
        <v>210</v>
      </c>
      <c r="E8" s="2">
        <f t="shared" si="0"/>
        <v>150</v>
      </c>
    </row>
    <row r="9" spans="2:7" x14ac:dyDescent="0.2">
      <c r="B9" s="2" t="s">
        <v>11</v>
      </c>
      <c r="C9" s="2">
        <v>300</v>
      </c>
      <c r="D9" s="5">
        <f>C9*'Valores y Totales'!C8</f>
        <v>630</v>
      </c>
      <c r="E9" s="2">
        <f t="shared" si="0"/>
        <v>300</v>
      </c>
    </row>
    <row r="10" spans="2:7" x14ac:dyDescent="0.2">
      <c r="B10" s="2" t="s">
        <v>12</v>
      </c>
      <c r="C10" s="2">
        <v>0</v>
      </c>
      <c r="D10" s="5">
        <f>C10*'Valores y Totales'!C9</f>
        <v>0</v>
      </c>
      <c r="E10" s="2">
        <f t="shared" si="0"/>
        <v>0</v>
      </c>
    </row>
    <row r="11" spans="2:7" x14ac:dyDescent="0.2">
      <c r="B11" s="2" t="s">
        <v>13</v>
      </c>
      <c r="C11" s="2">
        <v>0</v>
      </c>
      <c r="D11" s="5">
        <f>C11*'Valores y Totales'!C10</f>
        <v>0</v>
      </c>
      <c r="E11" s="2">
        <f t="shared" si="0"/>
        <v>0</v>
      </c>
    </row>
    <row r="12" spans="2:7" x14ac:dyDescent="0.2">
      <c r="B12" s="2" t="s">
        <v>14</v>
      </c>
      <c r="C12" s="2">
        <v>1300</v>
      </c>
      <c r="D12" s="5">
        <f>C12*'Valores y Totales'!C11</f>
        <v>6500</v>
      </c>
      <c r="E12" s="2">
        <f t="shared" si="0"/>
        <v>1300</v>
      </c>
    </row>
    <row r="13" spans="2:7" x14ac:dyDescent="0.2">
      <c r="B13" s="2" t="s">
        <v>15</v>
      </c>
      <c r="C13" s="2">
        <v>0</v>
      </c>
      <c r="D13" s="5">
        <f>C13*'Valores y Totales'!C12</f>
        <v>0</v>
      </c>
      <c r="E13" s="2">
        <f t="shared" si="0"/>
        <v>0</v>
      </c>
    </row>
    <row r="14" spans="2:7" x14ac:dyDescent="0.2">
      <c r="B14" s="2" t="s">
        <v>16</v>
      </c>
      <c r="C14" s="2">
        <v>0</v>
      </c>
      <c r="D14" s="5">
        <f>C14*'Valores y Totales'!C13</f>
        <v>0</v>
      </c>
      <c r="E14" s="2">
        <f t="shared" si="0"/>
        <v>0</v>
      </c>
    </row>
    <row r="15" spans="2:7" x14ac:dyDescent="0.2">
      <c r="B15" s="2" t="s">
        <v>17</v>
      </c>
      <c r="C15" s="2">
        <v>1</v>
      </c>
      <c r="D15" s="5">
        <f>C15*'Valores y Totales'!C14</f>
        <v>500</v>
      </c>
      <c r="E15" s="2">
        <f t="shared" si="0"/>
        <v>1</v>
      </c>
    </row>
    <row r="16" spans="2:7" x14ac:dyDescent="0.2">
      <c r="B16" s="2" t="s">
        <v>18</v>
      </c>
      <c r="C16" s="2">
        <v>0</v>
      </c>
      <c r="D16" s="5">
        <f>C16*'Valores y Totales'!C15</f>
        <v>0</v>
      </c>
      <c r="E16" s="2">
        <f t="shared" si="0"/>
        <v>0</v>
      </c>
    </row>
    <row r="17" spans="2:5" x14ac:dyDescent="0.2">
      <c r="B17" s="2" t="s">
        <v>19</v>
      </c>
      <c r="C17" s="2">
        <v>10</v>
      </c>
      <c r="D17" s="5">
        <f>C17*'Valores y Totales'!C16</f>
        <v>40</v>
      </c>
      <c r="E17" s="2">
        <f>G$1*C17</f>
        <v>10</v>
      </c>
    </row>
    <row r="18" spans="2:5" x14ac:dyDescent="0.2">
      <c r="B18" s="2" t="s">
        <v>20</v>
      </c>
      <c r="C18" s="2">
        <v>0</v>
      </c>
      <c r="D18" s="5">
        <f>C18*'Valores y Totales'!C17</f>
        <v>0</v>
      </c>
      <c r="E18" s="2">
        <f>G$1*C18</f>
        <v>0</v>
      </c>
    </row>
    <row r="19" spans="2:5" x14ac:dyDescent="0.2">
      <c r="B19" s="2" t="s">
        <v>21</v>
      </c>
      <c r="C19" s="2">
        <v>20</v>
      </c>
      <c r="D19" s="5">
        <f>C19*'Valores y Totales'!C18</f>
        <v>266.66666666666669</v>
      </c>
      <c r="E19" s="2">
        <f>G$1*C19</f>
        <v>20</v>
      </c>
    </row>
    <row r="20" spans="2:5" x14ac:dyDescent="0.2">
      <c r="B20" s="2" t="s">
        <v>22</v>
      </c>
      <c r="C20" s="2">
        <v>0</v>
      </c>
      <c r="D20" s="5">
        <f>C20*'Valores y Totales'!C19</f>
        <v>0</v>
      </c>
      <c r="E20" s="2">
        <f>G$1*C20</f>
        <v>0</v>
      </c>
    </row>
    <row r="21" spans="2:5" x14ac:dyDescent="0.2">
      <c r="B21" s="2" t="s">
        <v>23</v>
      </c>
      <c r="C21" s="2">
        <v>0</v>
      </c>
      <c r="D21" s="5">
        <f>C21*'Valores y Totales'!C20</f>
        <v>0</v>
      </c>
      <c r="E21" s="2">
        <f>G$1*C21</f>
        <v>0</v>
      </c>
    </row>
    <row r="22" spans="2:5" x14ac:dyDescent="0.2">
      <c r="B22" s="2" t="s">
        <v>41</v>
      </c>
      <c r="C22" s="2">
        <v>0</v>
      </c>
      <c r="D22" s="5">
        <f>C22*'Valores y Totales'!C21</f>
        <v>0</v>
      </c>
      <c r="E22" s="2">
        <f t="shared" ref="E22:E27" si="1">G$1*C22</f>
        <v>0</v>
      </c>
    </row>
    <row r="23" spans="2:5" x14ac:dyDescent="0.2">
      <c r="B23" s="2" t="s">
        <v>25</v>
      </c>
      <c r="C23" s="2">
        <v>0</v>
      </c>
      <c r="D23" s="5">
        <f>C23*'Valores y Totales'!C22</f>
        <v>0</v>
      </c>
      <c r="E23" s="2">
        <f t="shared" si="1"/>
        <v>0</v>
      </c>
    </row>
    <row r="24" spans="2:5" x14ac:dyDescent="0.2">
      <c r="B24" s="2" t="s">
        <v>26</v>
      </c>
      <c r="C24" s="2">
        <v>0</v>
      </c>
      <c r="D24" s="5">
        <f>C24*'Valores y Totales'!C23</f>
        <v>0</v>
      </c>
      <c r="E24" s="2">
        <f t="shared" si="1"/>
        <v>0</v>
      </c>
    </row>
    <row r="25" spans="2:5" x14ac:dyDescent="0.2">
      <c r="B25" s="2" t="s">
        <v>27</v>
      </c>
      <c r="C25" s="2">
        <v>0</v>
      </c>
      <c r="D25" s="5">
        <f>C25*'Valores y Totales'!C24</f>
        <v>0</v>
      </c>
      <c r="E25" s="2">
        <f t="shared" si="1"/>
        <v>0</v>
      </c>
    </row>
    <row r="26" spans="2:5" x14ac:dyDescent="0.2">
      <c r="B26" s="2" t="s">
        <v>28</v>
      </c>
      <c r="C26" s="2">
        <v>0</v>
      </c>
      <c r="D26" s="5">
        <f>C26*'Valores y Totales'!C25</f>
        <v>0</v>
      </c>
      <c r="E26" s="2">
        <f t="shared" si="1"/>
        <v>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1"/>
        <v>0</v>
      </c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70</v>
      </c>
      <c r="D30" s="11">
        <f>C30*G$1</f>
        <v>70</v>
      </c>
    </row>
    <row r="31" spans="2:5" x14ac:dyDescent="0.2">
      <c r="B31" s="3" t="s">
        <v>33</v>
      </c>
      <c r="C31" s="13">
        <f>SUM(D2:D27)</f>
        <v>12486.666666666666</v>
      </c>
      <c r="D31" s="12">
        <f>C31*G$1</f>
        <v>12486.666666666666</v>
      </c>
    </row>
    <row r="32" spans="2:5" x14ac:dyDescent="0.2">
      <c r="B32" s="3" t="s">
        <v>34</v>
      </c>
      <c r="C32" s="13"/>
      <c r="D32" s="14">
        <f>C32</f>
        <v>0</v>
      </c>
    </row>
    <row r="33" spans="2:4" ht="15.75" thickBot="1" x14ac:dyDescent="0.25">
      <c r="B33" s="3" t="s">
        <v>35</v>
      </c>
      <c r="C33" s="15">
        <f>C31/C30</f>
        <v>178.38095238095238</v>
      </c>
      <c r="D33" s="16">
        <f>C33</f>
        <v>178.38095238095238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33"/>
  <sheetViews>
    <sheetView topLeftCell="A12" workbookViewId="0">
      <selection activeCell="F33" sqref="F33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36</v>
      </c>
      <c r="C3" s="1">
        <v>125</v>
      </c>
      <c r="D3" s="5">
        <f>C3*'Valores y Totales'!C44</f>
        <v>1500</v>
      </c>
      <c r="E3" s="2"/>
    </row>
    <row r="4" spans="2:7" x14ac:dyDescent="0.2">
      <c r="B4" s="2" t="s">
        <v>6</v>
      </c>
      <c r="C4" s="1">
        <v>200</v>
      </c>
      <c r="D4" s="5">
        <f>C4*'Valores y Totales'!C3</f>
        <v>220.00000000000003</v>
      </c>
      <c r="E4" s="2">
        <f t="shared" ref="E4:E16" si="0">G$1*C4</f>
        <v>200</v>
      </c>
    </row>
    <row r="5" spans="2:7" x14ac:dyDescent="0.2">
      <c r="B5" s="2" t="s">
        <v>7</v>
      </c>
      <c r="C5" s="1">
        <v>0</v>
      </c>
      <c r="D5" s="5">
        <f>C5*'Valores y Totales'!C4</f>
        <v>0</v>
      </c>
      <c r="E5" s="2">
        <f t="shared" si="0"/>
        <v>0</v>
      </c>
    </row>
    <row r="6" spans="2:7" x14ac:dyDescent="0.2">
      <c r="B6" s="2" t="s">
        <v>8</v>
      </c>
      <c r="C6" s="1">
        <v>0</v>
      </c>
      <c r="D6" s="5">
        <f>C6*'Valores y Totales'!C5</f>
        <v>0</v>
      </c>
      <c r="E6" s="2">
        <f t="shared" si="0"/>
        <v>0</v>
      </c>
    </row>
    <row r="7" spans="2:7" x14ac:dyDescent="0.2">
      <c r="B7" s="1" t="s">
        <v>9</v>
      </c>
      <c r="C7" s="1">
        <v>2</v>
      </c>
      <c r="D7" s="5">
        <f>C7*'Valores y Totales'!B6</f>
        <v>420</v>
      </c>
      <c r="E7" s="2">
        <f t="shared" si="0"/>
        <v>2</v>
      </c>
    </row>
    <row r="8" spans="2:7" x14ac:dyDescent="0.2">
      <c r="B8" s="2" t="s">
        <v>10</v>
      </c>
      <c r="C8" s="2">
        <v>150</v>
      </c>
      <c r="D8" s="5">
        <f>C8*'Valores y Totales'!C7</f>
        <v>210</v>
      </c>
      <c r="E8" s="2">
        <f t="shared" si="0"/>
        <v>150</v>
      </c>
    </row>
    <row r="9" spans="2:7" x14ac:dyDescent="0.2">
      <c r="B9" s="2" t="s">
        <v>11</v>
      </c>
      <c r="C9" s="2">
        <v>300</v>
      </c>
      <c r="D9" s="5">
        <f>C9*'Valores y Totales'!C8</f>
        <v>630</v>
      </c>
      <c r="E9" s="2">
        <f t="shared" si="0"/>
        <v>300</v>
      </c>
    </row>
    <row r="10" spans="2:7" x14ac:dyDescent="0.2">
      <c r="B10" s="2" t="s">
        <v>12</v>
      </c>
      <c r="C10" s="2">
        <v>0</v>
      </c>
      <c r="D10" s="5">
        <f>C10*'Valores y Totales'!C9</f>
        <v>0</v>
      </c>
      <c r="E10" s="2">
        <f t="shared" si="0"/>
        <v>0</v>
      </c>
    </row>
    <row r="11" spans="2:7" x14ac:dyDescent="0.2">
      <c r="B11" s="2" t="s">
        <v>13</v>
      </c>
      <c r="C11" s="2">
        <v>0</v>
      </c>
      <c r="D11" s="5">
        <f>C11*'Valores y Totales'!C10</f>
        <v>0</v>
      </c>
      <c r="E11" s="2">
        <f t="shared" si="0"/>
        <v>0</v>
      </c>
    </row>
    <row r="12" spans="2:7" x14ac:dyDescent="0.2">
      <c r="B12" s="2" t="s">
        <v>14</v>
      </c>
      <c r="C12" s="2">
        <v>1250</v>
      </c>
      <c r="D12" s="5">
        <f>C12*'Valores y Totales'!C11</f>
        <v>6250</v>
      </c>
      <c r="E12" s="2">
        <f t="shared" si="0"/>
        <v>1250</v>
      </c>
    </row>
    <row r="13" spans="2:7" x14ac:dyDescent="0.2">
      <c r="B13" s="2" t="s">
        <v>15</v>
      </c>
      <c r="C13" s="2">
        <v>0</v>
      </c>
      <c r="D13" s="5">
        <f>C13*'Valores y Totales'!C12</f>
        <v>0</v>
      </c>
      <c r="E13" s="2">
        <f t="shared" si="0"/>
        <v>0</v>
      </c>
    </row>
    <row r="14" spans="2:7" x14ac:dyDescent="0.2">
      <c r="B14" s="2" t="s">
        <v>16</v>
      </c>
      <c r="C14" s="2">
        <v>0</v>
      </c>
      <c r="D14" s="5">
        <f>C14*'Valores y Totales'!C13</f>
        <v>0</v>
      </c>
      <c r="E14" s="2">
        <f t="shared" si="0"/>
        <v>0</v>
      </c>
    </row>
    <row r="15" spans="2:7" x14ac:dyDescent="0.2">
      <c r="B15" s="2" t="s">
        <v>17</v>
      </c>
      <c r="C15" s="2">
        <v>1</v>
      </c>
      <c r="D15" s="5">
        <f>C15*'Valores y Totales'!C14</f>
        <v>500</v>
      </c>
      <c r="E15" s="2">
        <f t="shared" si="0"/>
        <v>1</v>
      </c>
    </row>
    <row r="16" spans="2:7" x14ac:dyDescent="0.2">
      <c r="B16" s="2" t="s">
        <v>18</v>
      </c>
      <c r="C16" s="2">
        <v>0</v>
      </c>
      <c r="D16" s="5">
        <f>C16*'Valores y Totales'!C15</f>
        <v>0</v>
      </c>
      <c r="E16" s="2">
        <f t="shared" si="0"/>
        <v>0</v>
      </c>
    </row>
    <row r="17" spans="2:5" x14ac:dyDescent="0.2">
      <c r="B17" s="2" t="s">
        <v>19</v>
      </c>
      <c r="C17" s="2">
        <v>10</v>
      </c>
      <c r="D17" s="5">
        <f>C17*'Valores y Totales'!C16</f>
        <v>40</v>
      </c>
      <c r="E17" s="2">
        <f>G$1*C17</f>
        <v>10</v>
      </c>
    </row>
    <row r="18" spans="2:5" x14ac:dyDescent="0.2">
      <c r="B18" s="2" t="s">
        <v>20</v>
      </c>
      <c r="C18" s="2">
        <v>0</v>
      </c>
      <c r="D18" s="5">
        <f>C18*'Valores y Totales'!C17</f>
        <v>0</v>
      </c>
      <c r="E18" s="2">
        <f>G$1*C18</f>
        <v>0</v>
      </c>
    </row>
    <row r="19" spans="2:5" x14ac:dyDescent="0.2">
      <c r="B19" s="2" t="s">
        <v>21</v>
      </c>
      <c r="C19" s="2">
        <v>20</v>
      </c>
      <c r="D19" s="5">
        <f>C19*'Valores y Totales'!C18</f>
        <v>266.66666666666669</v>
      </c>
      <c r="E19" s="2">
        <f>G$1*C19</f>
        <v>20</v>
      </c>
    </row>
    <row r="20" spans="2:5" x14ac:dyDescent="0.2">
      <c r="B20" s="2" t="s">
        <v>22</v>
      </c>
      <c r="C20" s="2">
        <v>0</v>
      </c>
      <c r="D20" s="5">
        <f>C20*'Valores y Totales'!C19</f>
        <v>0</v>
      </c>
      <c r="E20" s="2">
        <f>G$1*C20</f>
        <v>0</v>
      </c>
    </row>
    <row r="21" spans="2:5" x14ac:dyDescent="0.2">
      <c r="B21" s="2" t="s">
        <v>23</v>
      </c>
      <c r="C21" s="2">
        <v>0</v>
      </c>
      <c r="D21" s="5">
        <f>C21*'Valores y Totales'!C20</f>
        <v>0</v>
      </c>
      <c r="E21" s="2">
        <f>G$1*C21</f>
        <v>0</v>
      </c>
    </row>
    <row r="22" spans="2:5" x14ac:dyDescent="0.2">
      <c r="B22" s="2" t="s">
        <v>41</v>
      </c>
      <c r="C22" s="2">
        <v>0</v>
      </c>
      <c r="D22" s="5">
        <f>C22*'Valores y Totales'!C21</f>
        <v>0</v>
      </c>
      <c r="E22" s="2">
        <f t="shared" ref="E22:E27" si="1">G$1*C22</f>
        <v>0</v>
      </c>
    </row>
    <row r="23" spans="2:5" x14ac:dyDescent="0.2">
      <c r="B23" s="2" t="s">
        <v>25</v>
      </c>
      <c r="C23" s="2">
        <v>0</v>
      </c>
      <c r="D23" s="5">
        <f>C23*'Valores y Totales'!C22</f>
        <v>0</v>
      </c>
      <c r="E23" s="2">
        <f t="shared" si="1"/>
        <v>0</v>
      </c>
    </row>
    <row r="24" spans="2:5" x14ac:dyDescent="0.2">
      <c r="B24" s="2" t="s">
        <v>26</v>
      </c>
      <c r="C24" s="2">
        <v>0</v>
      </c>
      <c r="D24" s="5">
        <f>C24*'Valores y Totales'!C23</f>
        <v>0</v>
      </c>
      <c r="E24" s="2">
        <f t="shared" si="1"/>
        <v>0</v>
      </c>
    </row>
    <row r="25" spans="2:5" x14ac:dyDescent="0.2">
      <c r="B25" s="2" t="s">
        <v>27</v>
      </c>
      <c r="C25" s="2">
        <v>0</v>
      </c>
      <c r="D25" s="5">
        <f>C25*'Valores y Totales'!C24</f>
        <v>0</v>
      </c>
      <c r="E25" s="2">
        <f t="shared" si="1"/>
        <v>0</v>
      </c>
    </row>
    <row r="26" spans="2:5" x14ac:dyDescent="0.2">
      <c r="B26" s="2" t="s">
        <v>28</v>
      </c>
      <c r="C26" s="2">
        <v>0</v>
      </c>
      <c r="D26" s="5">
        <f>C26*'Valores y Totales'!C25</f>
        <v>0</v>
      </c>
      <c r="E26" s="2">
        <f t="shared" si="1"/>
        <v>0</v>
      </c>
    </row>
    <row r="27" spans="2:5" x14ac:dyDescent="0.2">
      <c r="B27" s="2" t="s">
        <v>29</v>
      </c>
      <c r="C27" s="2">
        <v>0</v>
      </c>
      <c r="D27" s="5">
        <f>C27*'Valores y Totales'!C26</f>
        <v>0</v>
      </c>
      <c r="E27" s="2">
        <f t="shared" si="1"/>
        <v>0</v>
      </c>
    </row>
    <row r="29" spans="2:5" ht="15.75" thickBot="1" x14ac:dyDescent="0.25">
      <c r="C29" s="9" t="s">
        <v>30</v>
      </c>
      <c r="D29" s="9" t="s">
        <v>31</v>
      </c>
    </row>
    <row r="30" spans="2:5" x14ac:dyDescent="0.2">
      <c r="B30" s="3" t="s">
        <v>32</v>
      </c>
      <c r="C30" s="10">
        <v>25</v>
      </c>
      <c r="D30" s="11">
        <f>C30*G$1</f>
        <v>25</v>
      </c>
    </row>
    <row r="31" spans="2:5" x14ac:dyDescent="0.2">
      <c r="B31" s="3" t="s">
        <v>33</v>
      </c>
      <c r="C31" s="13">
        <f>SUM(D2:D27)</f>
        <v>12236.666666666666</v>
      </c>
      <c r="D31" s="12">
        <f>C31*G$1</f>
        <v>12236.666666666666</v>
      </c>
    </row>
    <row r="32" spans="2:5" x14ac:dyDescent="0.2">
      <c r="B32" s="3" t="s">
        <v>34</v>
      </c>
      <c r="C32" s="13"/>
      <c r="D32" s="14">
        <f>C32</f>
        <v>0</v>
      </c>
    </row>
    <row r="33" spans="2:4" ht="15.75" thickBot="1" x14ac:dyDescent="0.25">
      <c r="B33" s="3" t="s">
        <v>35</v>
      </c>
      <c r="C33" s="15">
        <f>C31/C30</f>
        <v>489.46666666666664</v>
      </c>
      <c r="D33" s="16">
        <f>C33</f>
        <v>489.46666666666664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G32"/>
  <sheetViews>
    <sheetView workbookViewId="0">
      <selection activeCell="D21" sqref="D21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6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50</v>
      </c>
      <c r="D8" s="5">
        <f>C8*'Valores y Totales'!C8</f>
        <v>105</v>
      </c>
      <c r="E8" s="2">
        <f t="shared" si="0"/>
        <v>50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750</v>
      </c>
      <c r="D11" s="5">
        <f>C11*'Valores y Totales'!C11</f>
        <v>3750</v>
      </c>
      <c r="E11" s="2">
        <f t="shared" si="0"/>
        <v>750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100</v>
      </c>
      <c r="D20" s="5">
        <f>C20*'Valores y Totales'!C20</f>
        <v>229.99999999999997</v>
      </c>
      <c r="E20" s="2">
        <f t="shared" si="0"/>
        <v>100</v>
      </c>
    </row>
    <row r="21" spans="2:6" x14ac:dyDescent="0.2">
      <c r="B21" s="2" t="s">
        <v>41</v>
      </c>
      <c r="C21" s="2">
        <v>400</v>
      </c>
      <c r="D21" s="5">
        <f>C21*'Valores y Totales'!C21</f>
        <v>4000</v>
      </c>
      <c r="E21" s="2">
        <f t="shared" si="0"/>
        <v>400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19" t="s">
        <v>30</v>
      </c>
      <c r="D28" s="19" t="s">
        <v>31</v>
      </c>
    </row>
    <row r="29" spans="2:6" x14ac:dyDescent="0.2">
      <c r="B29" s="3" t="s">
        <v>49</v>
      </c>
      <c r="C29" s="10">
        <v>15</v>
      </c>
      <c r="D29" s="11">
        <f>C29*G$1</f>
        <v>15</v>
      </c>
    </row>
    <row r="30" spans="2:6" x14ac:dyDescent="0.2">
      <c r="B30" s="3" t="s">
        <v>33</v>
      </c>
      <c r="C30" s="13">
        <f>SUM(D2:D26)</f>
        <v>11835</v>
      </c>
      <c r="D30" s="12">
        <f>C30*G$1</f>
        <v>11835</v>
      </c>
    </row>
    <row r="31" spans="2:6" x14ac:dyDescent="0.2">
      <c r="B31" s="3" t="s">
        <v>34</v>
      </c>
      <c r="C31" s="13"/>
      <c r="D31" s="14"/>
    </row>
    <row r="32" spans="2:6" ht="15.75" thickBot="1" x14ac:dyDescent="0.25">
      <c r="B32" s="3" t="s">
        <v>35</v>
      </c>
      <c r="C32" s="15">
        <f>C30/C29</f>
        <v>789</v>
      </c>
      <c r="D32" s="16">
        <f>C32</f>
        <v>789</v>
      </c>
      <c r="F32" s="6">
        <f>C32*2</f>
        <v>1578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32"/>
  <sheetViews>
    <sheetView workbookViewId="0">
      <selection activeCell="C36" sqref="C36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v>80</v>
      </c>
      <c r="E2" s="2">
        <f t="shared" ref="E2:E26" si="0">G$1*C2</f>
        <v>250</v>
      </c>
    </row>
    <row r="3" spans="2:7" x14ac:dyDescent="0.2">
      <c r="B3" s="2" t="s">
        <v>6</v>
      </c>
      <c r="C3" s="1">
        <v>315</v>
      </c>
      <c r="D3" s="5">
        <v>17.324999999999999</v>
      </c>
      <c r="E3" s="2">
        <f t="shared" si="0"/>
        <v>315</v>
      </c>
    </row>
    <row r="4" spans="2:7" x14ac:dyDescent="0.2">
      <c r="B4" s="2" t="s">
        <v>7</v>
      </c>
      <c r="C4" s="1">
        <v>60</v>
      </c>
      <c r="D4" s="5">
        <v>4.68</v>
      </c>
      <c r="E4" s="2">
        <f t="shared" si="0"/>
        <v>60</v>
      </c>
    </row>
    <row r="5" spans="2:7" x14ac:dyDescent="0.2">
      <c r="B5" s="2" t="s">
        <v>8</v>
      </c>
      <c r="C5" s="1">
        <v>20</v>
      </c>
      <c r="D5" s="5">
        <v>21.200000000000003</v>
      </c>
      <c r="E5" s="2">
        <f t="shared" si="0"/>
        <v>20</v>
      </c>
    </row>
    <row r="6" spans="2:7" x14ac:dyDescent="0.2">
      <c r="B6" s="1" t="s">
        <v>9</v>
      </c>
      <c r="C6" s="1">
        <v>1</v>
      </c>
      <c r="D6" s="5">
        <v>8.5</v>
      </c>
      <c r="E6" s="2">
        <f t="shared" si="0"/>
        <v>1</v>
      </c>
    </row>
    <row r="7" spans="2:7" x14ac:dyDescent="0.2">
      <c r="B7" s="2" t="s">
        <v>10</v>
      </c>
      <c r="C7" s="2">
        <v>0</v>
      </c>
      <c r="D7" s="5"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v>0</v>
      </c>
      <c r="E16" s="2">
        <f t="shared" si="0"/>
        <v>0</v>
      </c>
    </row>
    <row r="17" spans="2:5" x14ac:dyDescent="0.2">
      <c r="B17" s="2" t="s">
        <v>20</v>
      </c>
      <c r="C17" s="2">
        <v>10</v>
      </c>
      <c r="D17" s="5">
        <v>0.70000000000000007</v>
      </c>
      <c r="E17" s="2">
        <f t="shared" si="0"/>
        <v>10</v>
      </c>
    </row>
    <row r="18" spans="2:5" x14ac:dyDescent="0.2">
      <c r="B18" s="2" t="s">
        <v>21</v>
      </c>
      <c r="C18" s="2">
        <v>0</v>
      </c>
      <c r="D18" s="5"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v>0</v>
      </c>
      <c r="E19" s="2">
        <f t="shared" si="0"/>
        <v>0</v>
      </c>
    </row>
    <row r="20" spans="2:5" x14ac:dyDescent="0.2">
      <c r="B20" s="2" t="s">
        <v>23</v>
      </c>
      <c r="C20" s="2">
        <v>105</v>
      </c>
      <c r="D20" s="5">
        <v>8.19</v>
      </c>
      <c r="E20" s="2">
        <f t="shared" si="0"/>
        <v>105</v>
      </c>
    </row>
    <row r="21" spans="2:5" x14ac:dyDescent="0.2">
      <c r="B21" s="2" t="s">
        <v>41</v>
      </c>
      <c r="C21" s="2">
        <v>0</v>
      </c>
      <c r="D21" s="5"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v>0</v>
      </c>
      <c r="E26" s="2">
        <f t="shared" si="0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40</v>
      </c>
      <c r="D29" s="11">
        <f>C29*G$1</f>
        <v>40</v>
      </c>
    </row>
    <row r="30" spans="2:5" x14ac:dyDescent="0.2">
      <c r="B30" s="8" t="s">
        <v>33</v>
      </c>
      <c r="C30" s="13">
        <f>SUM(D2:D26)</f>
        <v>140.59499999999997</v>
      </c>
      <c r="D30" s="12">
        <f>C30*G$1</f>
        <v>140.59499999999997</v>
      </c>
    </row>
    <row r="31" spans="2:5" x14ac:dyDescent="0.2">
      <c r="B31" s="8" t="s">
        <v>34</v>
      </c>
      <c r="C31" s="13">
        <f>C30/C29*12</f>
        <v>42.178499999999985</v>
      </c>
      <c r="D31" s="14">
        <f>C31</f>
        <v>42.178499999999985</v>
      </c>
    </row>
    <row r="32" spans="2:5" ht="15.75" thickBot="1" x14ac:dyDescent="0.25">
      <c r="B32" s="8" t="s">
        <v>35</v>
      </c>
      <c r="C32" s="15">
        <f>C30/C29</f>
        <v>3.5148749999999991</v>
      </c>
      <c r="D32" s="16">
        <f>C32</f>
        <v>3.5148749999999991</v>
      </c>
    </row>
  </sheetData>
  <pageMargins left="0.7" right="0.7" top="0.75" bottom="0.75" header="0.3" footer="0.3"/>
  <pageSetup orientation="portrait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G32"/>
  <sheetViews>
    <sheetView workbookViewId="0">
      <selection activeCell="C2" sqref="C2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100</v>
      </c>
      <c r="D2" s="5">
        <v>32</v>
      </c>
      <c r="E2" s="2">
        <f t="shared" ref="E2:E26" si="0">G$1*C2</f>
        <v>100</v>
      </c>
    </row>
    <row r="3" spans="2:7" x14ac:dyDescent="0.2">
      <c r="B3" s="2" t="s">
        <v>6</v>
      </c>
      <c r="C3" s="1">
        <v>150</v>
      </c>
      <c r="D3" s="5">
        <v>8.25</v>
      </c>
      <c r="E3" s="2">
        <f t="shared" si="0"/>
        <v>150</v>
      </c>
    </row>
    <row r="4" spans="2:7" x14ac:dyDescent="0.2">
      <c r="B4" s="2" t="s">
        <v>7</v>
      </c>
      <c r="C4" s="1">
        <v>75</v>
      </c>
      <c r="D4" s="5">
        <v>5.85</v>
      </c>
      <c r="E4" s="2">
        <f t="shared" si="0"/>
        <v>75</v>
      </c>
    </row>
    <row r="5" spans="2:7" x14ac:dyDescent="0.2">
      <c r="B5" s="2" t="s">
        <v>8</v>
      </c>
      <c r="C5" s="1">
        <v>0</v>
      </c>
      <c r="D5" s="5"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v>17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v>0</v>
      </c>
      <c r="E18" s="2">
        <f t="shared" si="0"/>
        <v>0</v>
      </c>
    </row>
    <row r="19" spans="2:5" x14ac:dyDescent="0.2">
      <c r="B19" s="2" t="s">
        <v>22</v>
      </c>
      <c r="C19" s="2">
        <v>1</v>
      </c>
      <c r="D19" s="5">
        <v>10</v>
      </c>
      <c r="E19" s="2">
        <f t="shared" si="0"/>
        <v>1</v>
      </c>
    </row>
    <row r="20" spans="2:5" x14ac:dyDescent="0.2">
      <c r="B20" s="2" t="s">
        <v>23</v>
      </c>
      <c r="C20" s="2">
        <v>0</v>
      </c>
      <c r="D20" s="5">
        <v>0</v>
      </c>
      <c r="E20" s="2">
        <f t="shared" si="0"/>
        <v>0</v>
      </c>
    </row>
    <row r="21" spans="2:5" x14ac:dyDescent="0.2">
      <c r="B21" s="2" t="s">
        <v>41</v>
      </c>
      <c r="C21" s="2">
        <v>0</v>
      </c>
      <c r="D21" s="5"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v>0</v>
      </c>
      <c r="E26" s="2">
        <f t="shared" si="0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40</v>
      </c>
      <c r="D29" s="11">
        <f>C29*G$1</f>
        <v>40</v>
      </c>
    </row>
    <row r="30" spans="2:5" x14ac:dyDescent="0.2">
      <c r="B30" s="8" t="s">
        <v>33</v>
      </c>
      <c r="C30" s="13">
        <f>SUM(D2:D26)</f>
        <v>73.099999999999994</v>
      </c>
      <c r="D30" s="12">
        <f>C30*G$1</f>
        <v>73.099999999999994</v>
      </c>
    </row>
    <row r="31" spans="2:5" x14ac:dyDescent="0.2">
      <c r="B31" s="8" t="s">
        <v>34</v>
      </c>
      <c r="C31" s="13">
        <f>C30/C29*12</f>
        <v>21.93</v>
      </c>
      <c r="D31" s="14">
        <f>C31</f>
        <v>21.93</v>
      </c>
    </row>
    <row r="32" spans="2:5" ht="15.75" thickBot="1" x14ac:dyDescent="0.25">
      <c r="B32" s="8" t="s">
        <v>35</v>
      </c>
      <c r="C32" s="15">
        <f>C30/C29</f>
        <v>1.8274999999999999</v>
      </c>
      <c r="D32" s="16">
        <f>C32</f>
        <v>1.8274999999999999</v>
      </c>
    </row>
  </sheetData>
  <pageMargins left="0.7" right="0.7" top="0.75" bottom="0.75" header="0.3" footer="0.3"/>
  <pageSetup orientation="portrait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G34"/>
  <sheetViews>
    <sheetView workbookViewId="0">
      <selection activeCell="E28" sqref="B1:E28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180</v>
      </c>
      <c r="D2" s="5">
        <f>C2*'Valores y Totales'!C2</f>
        <v>1980</v>
      </c>
      <c r="E2" s="2">
        <f>G$1*C2</f>
        <v>180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8" si="0">G$1*C3</f>
        <v>500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Totales'!B6</f>
        <v>210</v>
      </c>
      <c r="E6" s="2">
        <f t="shared" si="0"/>
        <v>1</v>
      </c>
    </row>
    <row r="7" spans="2:7" x14ac:dyDescent="0.2">
      <c r="B7" s="2" t="s">
        <v>10</v>
      </c>
      <c r="C7" s="2">
        <v>300</v>
      </c>
      <c r="D7" s="5">
        <f>C7*'Valores y Totales'!C7</f>
        <v>420</v>
      </c>
      <c r="E7" s="2">
        <f t="shared" si="0"/>
        <v>300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2</v>
      </c>
      <c r="D15" s="5">
        <f>C15*'Valores y Totales'!C15</f>
        <v>1.8</v>
      </c>
      <c r="E15" s="2">
        <f t="shared" si="0"/>
        <v>2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6" x14ac:dyDescent="0.2">
      <c r="B27" s="2" t="s">
        <v>51</v>
      </c>
      <c r="C27" s="2">
        <v>0</v>
      </c>
      <c r="D27" s="5" t="e">
        <f>C27*'Valores y Totales'!#REF!</f>
        <v>#REF!</v>
      </c>
      <c r="E27" s="2">
        <f t="shared" si="0"/>
        <v>0</v>
      </c>
    </row>
    <row r="28" spans="2:6" x14ac:dyDescent="0.2">
      <c r="B28" s="18" t="s">
        <v>52</v>
      </c>
      <c r="C28" s="27">
        <v>20</v>
      </c>
      <c r="D28" s="20">
        <f>'Valores y Totales'!C52*C28</f>
        <v>160</v>
      </c>
      <c r="E28" s="18">
        <f t="shared" si="0"/>
        <v>20</v>
      </c>
    </row>
    <row r="29" spans="2:6" ht="15.75" thickBot="1" x14ac:dyDescent="0.25">
      <c r="C29" s="9" t="s">
        <v>30</v>
      </c>
      <c r="D29" s="9" t="s">
        <v>31</v>
      </c>
    </row>
    <row r="30" spans="2:6" x14ac:dyDescent="0.2">
      <c r="B30" s="3" t="s">
        <v>48</v>
      </c>
      <c r="C30" s="10">
        <v>60</v>
      </c>
      <c r="D30" s="11">
        <f>C30*G$1</f>
        <v>60</v>
      </c>
      <c r="F30" s="25"/>
    </row>
    <row r="31" spans="2:6" x14ac:dyDescent="0.2">
      <c r="B31" s="3" t="s">
        <v>33</v>
      </c>
      <c r="C31" s="13" t="e">
        <f>SUM(D2:D28)</f>
        <v>#REF!</v>
      </c>
      <c r="D31" s="12" t="e">
        <f>C31*G$1</f>
        <v>#REF!</v>
      </c>
    </row>
    <row r="32" spans="2:6" x14ac:dyDescent="0.2">
      <c r="B32" s="3" t="s">
        <v>34</v>
      </c>
      <c r="C32" s="13" t="e">
        <f>C31/C30*12</f>
        <v>#REF!</v>
      </c>
      <c r="D32" s="14" t="e">
        <f>C32</f>
        <v>#REF!</v>
      </c>
    </row>
    <row r="33" spans="2:4" ht="15.75" thickBot="1" x14ac:dyDescent="0.25">
      <c r="B33" s="3" t="s">
        <v>35</v>
      </c>
      <c r="C33" s="15" t="e">
        <f>C31/C30</f>
        <v>#REF!</v>
      </c>
      <c r="D33" s="16" t="e">
        <f>C33</f>
        <v>#REF!</v>
      </c>
    </row>
    <row r="34" spans="2:4" x14ac:dyDescent="0.2">
      <c r="B34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A63E-1641-41F7-856B-AE35550C24B6}">
  <dimension ref="B1:G32"/>
  <sheetViews>
    <sheetView workbookViewId="0">
      <selection activeCell="I35" sqref="I3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110</v>
      </c>
      <c r="D2" s="5">
        <f>C2*'Valores y Totales'!C2</f>
        <v>1210</v>
      </c>
      <c r="E2" s="2">
        <f>G$1*C2</f>
        <v>110</v>
      </c>
    </row>
    <row r="3" spans="2:7" x14ac:dyDescent="0.2">
      <c r="B3" s="2" t="s">
        <v>6</v>
      </c>
      <c r="C3" s="1">
        <v>155</v>
      </c>
      <c r="D3" s="5">
        <f>C3*'Valores y Totales'!C3</f>
        <v>170.5</v>
      </c>
      <c r="E3" s="2">
        <f t="shared" ref="E3:E26" si="0">G$1*C3</f>
        <v>155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225</v>
      </c>
      <c r="D9" s="5">
        <f>C9*'Valores y Totales'!C9</f>
        <v>5850</v>
      </c>
      <c r="E9" s="2">
        <f t="shared" si="0"/>
        <v>225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225</v>
      </c>
      <c r="D20" s="5">
        <f>C20*'Valores y Totales'!C20</f>
        <v>517.5</v>
      </c>
      <c r="E20" s="2">
        <f t="shared" si="0"/>
        <v>225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150</v>
      </c>
      <c r="D26" s="5">
        <f>C26*'Valores y Totales'!C26</f>
        <v>1200</v>
      </c>
      <c r="E26" s="2">
        <f t="shared" si="0"/>
        <v>150</v>
      </c>
    </row>
    <row r="27" spans="2:6" x14ac:dyDescent="0.2">
      <c r="C27" s="9" t="s">
        <v>30</v>
      </c>
      <c r="D27" s="9" t="s">
        <v>31</v>
      </c>
    </row>
    <row r="28" spans="2:6" x14ac:dyDescent="0.2">
      <c r="B28" s="3" t="s">
        <v>48</v>
      </c>
      <c r="C28" s="10">
        <v>34</v>
      </c>
      <c r="D28" s="11">
        <f>C28*G$1</f>
        <v>34</v>
      </c>
      <c r="F28" s="25"/>
    </row>
    <row r="29" spans="2:6" x14ac:dyDescent="0.2">
      <c r="B29" s="3" t="s">
        <v>33</v>
      </c>
      <c r="C29" s="13">
        <f>SUM(D2:D26)</f>
        <v>10658</v>
      </c>
      <c r="D29" s="12">
        <f>C29*G$1</f>
        <v>10658</v>
      </c>
    </row>
    <row r="30" spans="2:6" x14ac:dyDescent="0.2">
      <c r="B30" s="3" t="s">
        <v>34</v>
      </c>
      <c r="C30" s="13">
        <f>C29/C28*12</f>
        <v>3761.6470588235297</v>
      </c>
      <c r="D30" s="14">
        <f>C30</f>
        <v>3761.6470588235297</v>
      </c>
    </row>
    <row r="31" spans="2:6" x14ac:dyDescent="0.2">
      <c r="B31" s="3" t="s">
        <v>35</v>
      </c>
      <c r="C31" s="15">
        <f>C29/C28</f>
        <v>313.47058823529414</v>
      </c>
      <c r="D31" s="16">
        <f>C31</f>
        <v>313.47058823529414</v>
      </c>
    </row>
    <row r="32" spans="2:6" x14ac:dyDescent="0.2">
      <c r="B32" t="s">
        <v>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8ABB-8501-4220-977D-6A0BD6FCB362}">
  <dimension ref="B1:G33"/>
  <sheetViews>
    <sheetView workbookViewId="0">
      <selection activeCell="E27" sqref="B27:E27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115</v>
      </c>
      <c r="D2" s="5">
        <f>C2*'Valores y Totales'!C2</f>
        <v>1265</v>
      </c>
      <c r="E2" s="2">
        <f>G$1*C2</f>
        <v>115</v>
      </c>
    </row>
    <row r="3" spans="2:7" x14ac:dyDescent="0.2">
      <c r="B3" s="2" t="s">
        <v>6</v>
      </c>
      <c r="C3" s="1">
        <v>185</v>
      </c>
      <c r="D3" s="5">
        <f>C3*'Valores y Totales'!C3</f>
        <v>203.50000000000003</v>
      </c>
      <c r="E3" s="2">
        <f t="shared" ref="E3:E27" si="0">G$1*C3</f>
        <v>185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Totales'!B6</f>
        <v>210</v>
      </c>
      <c r="E6" s="2">
        <f t="shared" si="0"/>
        <v>1</v>
      </c>
    </row>
    <row r="7" spans="2:7" x14ac:dyDescent="0.2">
      <c r="B7" s="2" t="s">
        <v>10</v>
      </c>
      <c r="C7" s="2">
        <v>100</v>
      </c>
      <c r="D7" s="5">
        <f>C7*'Valores y Totales'!C7</f>
        <v>140</v>
      </c>
      <c r="E7" s="2">
        <f t="shared" si="0"/>
        <v>100</v>
      </c>
    </row>
    <row r="8" spans="2:7" x14ac:dyDescent="0.2">
      <c r="B8" s="2" t="s">
        <v>11</v>
      </c>
      <c r="C8" s="2">
        <v>30</v>
      </c>
      <c r="D8" s="5">
        <f>C8*'Valores y Totales'!C8</f>
        <v>63</v>
      </c>
      <c r="E8" s="2">
        <f t="shared" si="0"/>
        <v>30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100</v>
      </c>
      <c r="D20" s="5">
        <f>C20*'Valores y Totales'!C20</f>
        <v>229.99999999999997</v>
      </c>
      <c r="E20" s="2">
        <f t="shared" si="0"/>
        <v>100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150</v>
      </c>
      <c r="D26" s="5">
        <f>C26*'Valores y Totales'!C26</f>
        <v>1200</v>
      </c>
      <c r="E26" s="2">
        <f t="shared" si="0"/>
        <v>150</v>
      </c>
    </row>
    <row r="27" spans="2:6" x14ac:dyDescent="0.2">
      <c r="B27" s="2"/>
      <c r="C27" s="2"/>
      <c r="D27" s="5"/>
      <c r="E27" s="2"/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24</v>
      </c>
      <c r="D29" s="11">
        <f>C29*G$1</f>
        <v>24</v>
      </c>
      <c r="F29" s="25"/>
    </row>
    <row r="30" spans="2:6" x14ac:dyDescent="0.2">
      <c r="B30" s="3" t="s">
        <v>33</v>
      </c>
      <c r="C30" s="13">
        <f>SUM(D2:D27)</f>
        <v>3311.5</v>
      </c>
      <c r="D30" s="12">
        <f>C30*G$1</f>
        <v>3311.5</v>
      </c>
    </row>
    <row r="31" spans="2:6" x14ac:dyDescent="0.2">
      <c r="B31" s="3" t="s">
        <v>34</v>
      </c>
      <c r="C31" s="13">
        <f>C30/C29*12</f>
        <v>1655.75</v>
      </c>
      <c r="D31" s="14">
        <f>C31</f>
        <v>1655.75</v>
      </c>
    </row>
    <row r="32" spans="2:6" x14ac:dyDescent="0.2">
      <c r="B32" s="3" t="s">
        <v>35</v>
      </c>
      <c r="C32" s="15">
        <f>C30/C29</f>
        <v>137.97916666666666</v>
      </c>
      <c r="D32" s="16">
        <f>C32</f>
        <v>137.97916666666666</v>
      </c>
    </row>
    <row r="33" spans="2:2" x14ac:dyDescent="0.2">
      <c r="B33" t="s">
        <v>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G33"/>
  <sheetViews>
    <sheetView workbookViewId="0">
      <selection activeCell="C6" sqref="C6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450</v>
      </c>
      <c r="D3" s="5">
        <f>C3*'Valores y Totales'!C3</f>
        <v>495.00000000000006</v>
      </c>
      <c r="E3" s="2">
        <f t="shared" ref="E3:E27" si="0">G$1*C3</f>
        <v>450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150</v>
      </c>
      <c r="D26" s="5">
        <f>C26*'Valores y Totales'!C26</f>
        <v>1200</v>
      </c>
      <c r="E26" s="2">
        <f t="shared" si="0"/>
        <v>150</v>
      </c>
    </row>
    <row r="27" spans="2:6" x14ac:dyDescent="0.2">
      <c r="B27" s="2" t="s">
        <v>51</v>
      </c>
      <c r="C27" s="2">
        <v>0</v>
      </c>
      <c r="D27" s="5" t="e">
        <f>C27*'Valores y Totales'!#REF!</f>
        <v>#REF!</v>
      </c>
      <c r="E27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66</v>
      </c>
      <c r="D29" s="11">
        <f>C29*G$1</f>
        <v>66</v>
      </c>
      <c r="F29" s="25"/>
    </row>
    <row r="30" spans="2:6" x14ac:dyDescent="0.2">
      <c r="B30" s="3" t="s">
        <v>33</v>
      </c>
      <c r="C30" s="13" t="e">
        <f>SUM(D2:D27)</f>
        <v>#REF!</v>
      </c>
      <c r="D30" s="12" t="e">
        <f>C30*G$1</f>
        <v>#REF!</v>
      </c>
    </row>
    <row r="31" spans="2:6" x14ac:dyDescent="0.2">
      <c r="B31" s="3" t="s">
        <v>34</v>
      </c>
      <c r="C31" s="13" t="e">
        <f>C30/C29*12</f>
        <v>#REF!</v>
      </c>
      <c r="D31" s="14" t="e">
        <f>C31</f>
        <v>#REF!</v>
      </c>
    </row>
    <row r="32" spans="2:6" ht="15.75" thickBot="1" x14ac:dyDescent="0.25">
      <c r="B32" s="3" t="s">
        <v>35</v>
      </c>
      <c r="C32" s="15" t="e">
        <f>C30/C29</f>
        <v>#REF!</v>
      </c>
      <c r="D32" s="16" t="e">
        <f>C32</f>
        <v>#REF!</v>
      </c>
    </row>
    <row r="33" spans="2:2" x14ac:dyDescent="0.2">
      <c r="B33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32"/>
  <sheetViews>
    <sheetView topLeftCell="A12" workbookViewId="0">
      <selection activeCell="C22" sqref="C22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12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12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12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  <c r="H3" s="9" t="s">
        <v>30</v>
      </c>
      <c r="I3" s="9" t="s">
        <v>31</v>
      </c>
    </row>
    <row r="4" spans="2:12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G4" s="3" t="s">
        <v>48</v>
      </c>
      <c r="H4" s="10">
        <v>1</v>
      </c>
      <c r="I4" s="11">
        <f>H4*G$1</f>
        <v>1</v>
      </c>
    </row>
    <row r="5" spans="2:12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12963</v>
      </c>
      <c r="I5" s="24">
        <f>H5*G$1</f>
        <v>12963</v>
      </c>
    </row>
    <row r="6" spans="2:12" x14ac:dyDescent="0.2">
      <c r="B6" s="1" t="s">
        <v>9</v>
      </c>
      <c r="C6" s="1">
        <v>4</v>
      </c>
      <c r="D6" s="5">
        <f>C6*'Valores y Totales'!B6</f>
        <v>840</v>
      </c>
      <c r="E6" s="2">
        <f t="shared" si="0"/>
        <v>4</v>
      </c>
      <c r="G6" s="3" t="s">
        <v>34</v>
      </c>
      <c r="H6" s="13"/>
      <c r="I6" s="14">
        <f>H6</f>
        <v>0</v>
      </c>
    </row>
    <row r="7" spans="2:12" ht="15.75" thickBot="1" x14ac:dyDescent="0.25">
      <c r="B7" s="2" t="s">
        <v>10</v>
      </c>
      <c r="C7" s="2">
        <v>250</v>
      </c>
      <c r="D7" s="5">
        <f>C7*'Valores y Totales'!C7</f>
        <v>350</v>
      </c>
      <c r="E7" s="2">
        <f t="shared" si="0"/>
        <v>250</v>
      </c>
      <c r="G7" s="3" t="s">
        <v>35</v>
      </c>
      <c r="H7" s="15">
        <f>H5/H4</f>
        <v>12963</v>
      </c>
      <c r="I7" s="16">
        <f>H7</f>
        <v>12963</v>
      </c>
    </row>
    <row r="8" spans="2:12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12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12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K10">
        <v>130</v>
      </c>
      <c r="L10">
        <v>1500</v>
      </c>
    </row>
    <row r="11" spans="2:12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  <c r="K11">
        <f>L11*K10/L10</f>
        <v>8.6666666666666661</v>
      </c>
      <c r="L11">
        <v>100</v>
      </c>
    </row>
    <row r="12" spans="2:12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12" x14ac:dyDescent="0.2">
      <c r="B13" s="2" t="s">
        <v>16</v>
      </c>
      <c r="C13" s="2">
        <v>500</v>
      </c>
      <c r="D13" s="5">
        <f>C13*'Valores y Totales'!C13</f>
        <v>1050</v>
      </c>
      <c r="E13" s="2">
        <f t="shared" si="0"/>
        <v>500</v>
      </c>
    </row>
    <row r="14" spans="2:12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12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12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100</v>
      </c>
      <c r="D21" s="5">
        <f>C21*'Valores y Totales'!C21</f>
        <v>1000</v>
      </c>
      <c r="E21" s="2">
        <f t="shared" si="0"/>
        <v>100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>G$1*C25</f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>G$1*C26</f>
        <v>0</v>
      </c>
    </row>
    <row r="27" spans="2:5" x14ac:dyDescent="0.2">
      <c r="B27" s="18" t="s">
        <v>55</v>
      </c>
      <c r="C27" s="18">
        <v>150</v>
      </c>
      <c r="D27" s="21">
        <f>'Valores y Totales'!C40*C27</f>
        <v>90</v>
      </c>
      <c r="E27" s="18">
        <f>G$1*C27</f>
        <v>150</v>
      </c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32</v>
      </c>
      <c r="C29" s="10">
        <v>3</v>
      </c>
      <c r="D29" s="11">
        <f>C29*G$1</f>
        <v>3</v>
      </c>
      <c r="E29" t="s">
        <v>56</v>
      </c>
    </row>
    <row r="30" spans="2:5" x14ac:dyDescent="0.2">
      <c r="B30" s="3" t="s">
        <v>33</v>
      </c>
      <c r="C30" s="13">
        <f>SUM(D2:D27)</f>
        <v>6480</v>
      </c>
      <c r="D30" s="12">
        <f>C30*G$1</f>
        <v>6480</v>
      </c>
    </row>
    <row r="31" spans="2:5" x14ac:dyDescent="0.2">
      <c r="B31" s="3"/>
      <c r="C31" s="13"/>
      <c r="D31" s="14"/>
    </row>
    <row r="32" spans="2:5" ht="15.75" thickBot="1" x14ac:dyDescent="0.25">
      <c r="B32" s="3" t="s">
        <v>35</v>
      </c>
      <c r="C32" s="15">
        <f>C30/C29</f>
        <v>2160</v>
      </c>
      <c r="D32" s="16">
        <f>C32</f>
        <v>2160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L32"/>
  <sheetViews>
    <sheetView topLeftCell="A15" workbookViewId="0">
      <selection activeCell="C32" sqref="C32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12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12" x14ac:dyDescent="0.2">
      <c r="B2" s="2" t="s">
        <v>57</v>
      </c>
      <c r="C2" s="1">
        <v>100</v>
      </c>
      <c r="D2" s="5">
        <f>C2*'Valores y Totales'!C41</f>
        <v>120</v>
      </c>
      <c r="E2" s="2">
        <f>G$1*C2</f>
        <v>100</v>
      </c>
    </row>
    <row r="3" spans="2:12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  <c r="H3" s="9" t="s">
        <v>30</v>
      </c>
      <c r="I3" s="9" t="s">
        <v>31</v>
      </c>
    </row>
    <row r="4" spans="2:12" x14ac:dyDescent="0.2">
      <c r="B4" s="2" t="s">
        <v>7</v>
      </c>
      <c r="C4" s="1">
        <v>300</v>
      </c>
      <c r="D4" s="5">
        <f>C4*'Valores y Totales'!C4</f>
        <v>450</v>
      </c>
      <c r="E4" s="2">
        <f t="shared" si="0"/>
        <v>300</v>
      </c>
      <c r="G4" s="3" t="s">
        <v>48</v>
      </c>
      <c r="H4" s="10">
        <v>1</v>
      </c>
      <c r="I4" s="11">
        <f>H4*G$1</f>
        <v>1</v>
      </c>
    </row>
    <row r="5" spans="2:12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7652</v>
      </c>
      <c r="I5" s="24">
        <f>H5*G$1</f>
        <v>7652</v>
      </c>
    </row>
    <row r="6" spans="2:12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  <c r="G6" s="3" t="s">
        <v>34</v>
      </c>
      <c r="H6" s="13"/>
      <c r="I6" s="14">
        <f>H6</f>
        <v>0</v>
      </c>
    </row>
    <row r="7" spans="2:12" ht="15.75" thickBot="1" x14ac:dyDescent="0.25">
      <c r="B7" s="2" t="s">
        <v>10</v>
      </c>
      <c r="C7" s="2">
        <v>200</v>
      </c>
      <c r="D7" s="5">
        <f>C7*'Valores y Totales'!C7</f>
        <v>280</v>
      </c>
      <c r="E7" s="2">
        <f t="shared" si="0"/>
        <v>200</v>
      </c>
      <c r="G7" s="3" t="s">
        <v>35</v>
      </c>
      <c r="H7" s="15">
        <f>H5/H4</f>
        <v>7652</v>
      </c>
      <c r="I7" s="16">
        <f>H7</f>
        <v>7652</v>
      </c>
    </row>
    <row r="8" spans="2:12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12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12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K10">
        <v>130</v>
      </c>
      <c r="L10">
        <v>1500</v>
      </c>
    </row>
    <row r="11" spans="2:12" x14ac:dyDescent="0.2">
      <c r="B11" s="2" t="s">
        <v>14</v>
      </c>
      <c r="C11" s="2"/>
      <c r="D11" s="5">
        <f>C11*'Valores y Totales'!C11</f>
        <v>0</v>
      </c>
      <c r="E11" s="2">
        <f t="shared" si="0"/>
        <v>0</v>
      </c>
      <c r="K11">
        <f>L11*K10/L10</f>
        <v>8.6666666666666661</v>
      </c>
      <c r="L11">
        <v>100</v>
      </c>
    </row>
    <row r="12" spans="2:12" x14ac:dyDescent="0.2">
      <c r="B12" s="2" t="s">
        <v>15</v>
      </c>
      <c r="C12" s="2"/>
      <c r="D12" s="5">
        <f>C12*'Valores y Totales'!C12</f>
        <v>0</v>
      </c>
      <c r="E12" s="2">
        <f t="shared" si="0"/>
        <v>0</v>
      </c>
    </row>
    <row r="13" spans="2:12" x14ac:dyDescent="0.2">
      <c r="B13" s="2" t="s">
        <v>16</v>
      </c>
      <c r="C13" s="2">
        <v>300</v>
      </c>
      <c r="D13" s="5">
        <f>C13*'Valores y Totales'!C13</f>
        <v>630</v>
      </c>
      <c r="E13" s="2">
        <f t="shared" si="0"/>
        <v>300</v>
      </c>
    </row>
    <row r="14" spans="2:12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12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12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50</v>
      </c>
      <c r="D17" s="5">
        <f>C17*'Valores y Totales'!C17</f>
        <v>125</v>
      </c>
      <c r="E17" s="2">
        <f t="shared" si="0"/>
        <v>50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2</v>
      </c>
      <c r="D19" s="5">
        <f>C19*'Valores y Totales'!C19</f>
        <v>1000</v>
      </c>
      <c r="E19" s="2">
        <f t="shared" si="0"/>
        <v>2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>G$1*C25</f>
        <v>0</v>
      </c>
    </row>
    <row r="26" spans="2:5" x14ac:dyDescent="0.2">
      <c r="B26" s="2" t="s">
        <v>29</v>
      </c>
      <c r="C26" s="2">
        <v>100</v>
      </c>
      <c r="D26" s="5">
        <f>C26*'Valores y Totales'!C26</f>
        <v>800</v>
      </c>
      <c r="E26" s="2">
        <f>G$1*C26</f>
        <v>100</v>
      </c>
    </row>
    <row r="27" spans="2:5" x14ac:dyDescent="0.2">
      <c r="C27" s="18"/>
      <c r="D27" s="21"/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32</v>
      </c>
      <c r="C29" s="10">
        <v>2</v>
      </c>
      <c r="D29" s="11">
        <f>C29*G$1</f>
        <v>2</v>
      </c>
      <c r="E29" t="s">
        <v>56</v>
      </c>
    </row>
    <row r="30" spans="2:5" x14ac:dyDescent="0.2">
      <c r="B30" s="3" t="s">
        <v>33</v>
      </c>
      <c r="C30" s="13">
        <f>SUM(D2:D27)</f>
        <v>3825</v>
      </c>
      <c r="D30" s="12">
        <f>C30*G$1</f>
        <v>3825</v>
      </c>
    </row>
    <row r="31" spans="2:5" x14ac:dyDescent="0.2">
      <c r="B31" s="3"/>
      <c r="C31" s="13"/>
      <c r="D31" s="14"/>
    </row>
    <row r="32" spans="2:5" ht="15.75" thickBot="1" x14ac:dyDescent="0.25">
      <c r="B32" s="3" t="s">
        <v>35</v>
      </c>
      <c r="C32" s="15">
        <f>C30/C29</f>
        <v>1912.5</v>
      </c>
      <c r="D32" s="16">
        <f>C32</f>
        <v>1912.5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G34"/>
  <sheetViews>
    <sheetView topLeftCell="C20" workbookViewId="0">
      <selection activeCell="C20" sqref="C20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110</v>
      </c>
      <c r="D2" s="5">
        <f>C2*'Valores y Totales'!C2</f>
        <v>1210</v>
      </c>
      <c r="E2" s="2">
        <f>G$1*C2</f>
        <v>110</v>
      </c>
    </row>
    <row r="3" spans="2:7" x14ac:dyDescent="0.2">
      <c r="B3" s="2" t="s">
        <v>6</v>
      </c>
      <c r="C3" s="1">
        <v>155</v>
      </c>
      <c r="D3" s="5">
        <f>C3*'Valores y Totales'!C3</f>
        <v>170.5</v>
      </c>
      <c r="E3" s="2">
        <f t="shared" ref="E3:E28" si="0">G$1*C3</f>
        <v>155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225</v>
      </c>
      <c r="D9" s="5">
        <f>C9*'Valores y Totales'!C9</f>
        <v>5850</v>
      </c>
      <c r="E9" s="2">
        <f t="shared" si="0"/>
        <v>225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6" x14ac:dyDescent="0.2">
      <c r="B17" s="2" t="s">
        <v>20</v>
      </c>
      <c r="C17" s="2">
        <v>70</v>
      </c>
      <c r="D17" s="5">
        <f>C17*'Valores y Totales'!C17</f>
        <v>175</v>
      </c>
      <c r="E17" s="2">
        <f t="shared" si="0"/>
        <v>70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1</v>
      </c>
      <c r="D19" s="5">
        <f>C19*'Valores y Totales'!C19</f>
        <v>500</v>
      </c>
      <c r="E19" s="2">
        <f t="shared" si="0"/>
        <v>1</v>
      </c>
    </row>
    <row r="20" spans="2:6" x14ac:dyDescent="0.2">
      <c r="B20" s="2" t="s">
        <v>23</v>
      </c>
      <c r="C20" s="2">
        <v>225</v>
      </c>
      <c r="D20" s="5">
        <f>C20*'Valores y Totales'!C20</f>
        <v>517.5</v>
      </c>
      <c r="E20" s="2">
        <f t="shared" si="0"/>
        <v>225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100</v>
      </c>
      <c r="D26" s="5">
        <f>C26*'Valores y Totales'!C26</f>
        <v>800</v>
      </c>
      <c r="E26" s="2">
        <f t="shared" si="0"/>
        <v>100</v>
      </c>
    </row>
    <row r="27" spans="2:6" x14ac:dyDescent="0.2">
      <c r="B27" s="2" t="s">
        <v>51</v>
      </c>
      <c r="C27" s="2">
        <v>0</v>
      </c>
      <c r="D27" s="5" t="e">
        <f>C27*'Valores y Totales'!#REF!</f>
        <v>#REF!</v>
      </c>
      <c r="E27" s="2">
        <f t="shared" si="0"/>
        <v>0</v>
      </c>
    </row>
    <row r="28" spans="2:6" x14ac:dyDescent="0.2">
      <c r="B28" s="18" t="s">
        <v>58</v>
      </c>
      <c r="C28" s="27">
        <v>100</v>
      </c>
      <c r="D28" s="20">
        <f>'Valores y Totales'!C51</f>
        <v>9.9</v>
      </c>
      <c r="E28" s="18">
        <f t="shared" si="0"/>
        <v>100</v>
      </c>
    </row>
    <row r="29" spans="2:6" ht="15.75" thickBot="1" x14ac:dyDescent="0.25">
      <c r="C29" s="9" t="s">
        <v>30</v>
      </c>
      <c r="D29" s="9" t="s">
        <v>31</v>
      </c>
    </row>
    <row r="30" spans="2:6" x14ac:dyDescent="0.2">
      <c r="B30" s="3" t="s">
        <v>48</v>
      </c>
      <c r="C30" s="10">
        <v>55</v>
      </c>
      <c r="D30" s="11">
        <f>C30*G$1</f>
        <v>55</v>
      </c>
      <c r="F30" s="25"/>
    </row>
    <row r="31" spans="2:6" x14ac:dyDescent="0.2">
      <c r="B31" s="3" t="s">
        <v>33</v>
      </c>
      <c r="C31" s="13" t="e">
        <f>SUM(D2:D27)</f>
        <v>#REF!</v>
      </c>
      <c r="D31" s="12" t="e">
        <f>C31*G$1</f>
        <v>#REF!</v>
      </c>
    </row>
    <row r="32" spans="2:6" x14ac:dyDescent="0.2">
      <c r="B32" s="3" t="s">
        <v>34</v>
      </c>
      <c r="C32" s="13" t="e">
        <f>C31/C30*12</f>
        <v>#REF!</v>
      </c>
      <c r="D32" s="14" t="e">
        <f>C32</f>
        <v>#REF!</v>
      </c>
    </row>
    <row r="33" spans="2:4" ht="15.75" thickBot="1" x14ac:dyDescent="0.25">
      <c r="B33" s="3" t="s">
        <v>35</v>
      </c>
      <c r="C33" s="15" t="e">
        <f>C31/C30</f>
        <v>#REF!</v>
      </c>
      <c r="D33" s="16" t="e">
        <f>C33</f>
        <v>#REF!</v>
      </c>
    </row>
    <row r="34" spans="2:4" x14ac:dyDescent="0.2">
      <c r="B34" t="s">
        <v>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B1:H34"/>
  <sheetViews>
    <sheetView zoomScale="90" zoomScaleNormal="90" workbookViewId="0">
      <pane xSplit="2" ySplit="1" topLeftCell="D12" activePane="bottomRight" state="frozen"/>
      <selection pane="bottomLeft" activeCell="A2" sqref="A2"/>
      <selection pane="topRight" activeCell="C1" sqref="C1"/>
      <selection pane="bottomRight" activeCell="C1" sqref="C1"/>
    </sheetView>
  </sheetViews>
  <sheetFormatPr defaultColWidth="11.43359375" defaultRowHeight="15" x14ac:dyDescent="0.2"/>
  <cols>
    <col min="1" max="1" width="3.09375" customWidth="1"/>
    <col min="2" max="2" width="40.0859375" customWidth="1"/>
    <col min="3" max="3" width="27.0390625" style="86" customWidth="1"/>
    <col min="4" max="5" width="24.88671875" style="28" customWidth="1"/>
    <col min="6" max="6" width="12.64453125" customWidth="1"/>
    <col min="7" max="7" width="15.73828125" style="28" customWidth="1"/>
    <col min="8" max="8" width="25.421875" style="28" customWidth="1"/>
  </cols>
  <sheetData>
    <row r="1" spans="2:8" x14ac:dyDescent="0.2">
      <c r="B1" s="96" t="s">
        <v>59</v>
      </c>
      <c r="C1" s="97" t="s">
        <v>35</v>
      </c>
      <c r="D1" s="98" t="s">
        <v>60</v>
      </c>
      <c r="E1" s="98" t="s">
        <v>61</v>
      </c>
      <c r="F1" s="70" t="s">
        <v>62</v>
      </c>
      <c r="G1" s="71" t="s">
        <v>33</v>
      </c>
      <c r="H1" s="72" t="s">
        <v>63</v>
      </c>
    </row>
    <row r="2" spans="2:8" x14ac:dyDescent="0.2">
      <c r="B2" s="95" t="s">
        <v>64</v>
      </c>
      <c r="C2" s="125">
        <f>G2/F2</f>
        <v>176.0625</v>
      </c>
      <c r="D2" s="99">
        <f>H2/F2</f>
        <v>528.1875</v>
      </c>
      <c r="E2" s="99">
        <f>Tabla134[[#This Row],[Precio al Público]]*12</f>
        <v>6338.25</v>
      </c>
      <c r="F2" s="73">
        <f>'Alfajores de Chocolate'!C29</f>
        <v>80</v>
      </c>
      <c r="G2" s="74">
        <f>'Alfajores de Chocolate'!C30</f>
        <v>14085</v>
      </c>
      <c r="H2" s="74">
        <f t="shared" ref="H2:H23" si="0">G2*3</f>
        <v>42255</v>
      </c>
    </row>
    <row r="3" spans="2:8" x14ac:dyDescent="0.2">
      <c r="B3" s="95" t="s">
        <v>65</v>
      </c>
      <c r="C3" s="125">
        <f>G3/F3</f>
        <v>118.58333333333333</v>
      </c>
      <c r="D3" s="99">
        <f>H3/F3</f>
        <v>355.75</v>
      </c>
      <c r="E3" s="99">
        <f>Tabla134[[#This Row],[Precio al Público]]*12</f>
        <v>4269</v>
      </c>
      <c r="F3" s="73">
        <f>'Alfajores de Maicena'!C29</f>
        <v>80</v>
      </c>
      <c r="G3" s="74">
        <f>'Alfajores de Maicena'!C30</f>
        <v>9486.6666666666661</v>
      </c>
      <c r="H3" s="74">
        <f t="shared" si="0"/>
        <v>28460</v>
      </c>
    </row>
    <row r="4" spans="2:8" x14ac:dyDescent="0.2">
      <c r="B4" s="95" t="s">
        <v>66</v>
      </c>
      <c r="C4" s="125">
        <f>G4/F4</f>
        <v>95.875</v>
      </c>
      <c r="D4" s="99">
        <f>H4/F4</f>
        <v>287.625</v>
      </c>
      <c r="E4" s="99">
        <f>Tabla134[[#This Row],[Precio al Público]]*12</f>
        <v>3451.5</v>
      </c>
      <c r="F4" s="73">
        <f>MiniRogel!C29</f>
        <v>80</v>
      </c>
      <c r="G4" s="74">
        <f>MiniRogel!C30</f>
        <v>7670</v>
      </c>
      <c r="H4" s="74">
        <f t="shared" si="0"/>
        <v>23010</v>
      </c>
    </row>
    <row r="5" spans="2:8" x14ac:dyDescent="0.2">
      <c r="B5" s="95" t="s">
        <v>67</v>
      </c>
      <c r="C5" s="125">
        <f>'Alfajores de Nuez'!C32</f>
        <v>209.08333333333334</v>
      </c>
      <c r="D5" s="99">
        <f>H5/F5</f>
        <v>627.25</v>
      </c>
      <c r="E5" s="99">
        <f>Tabla134[[#This Row],[Precio al Público]]*12</f>
        <v>7527</v>
      </c>
      <c r="F5" s="73">
        <f>'Alfajores de Nuez'!C29</f>
        <v>60</v>
      </c>
      <c r="G5" s="74">
        <f>'Alfajores de Nuez'!C30</f>
        <v>12545</v>
      </c>
      <c r="H5" s="74">
        <f>G5*3</f>
        <v>37635</v>
      </c>
    </row>
    <row r="6" spans="2:8" x14ac:dyDescent="0.2">
      <c r="B6" s="95" t="s">
        <v>68</v>
      </c>
      <c r="C6" s="125">
        <f t="shared" ref="C6:C21" si="1">G6/F6</f>
        <v>15388</v>
      </c>
      <c r="D6" s="99">
        <f>H6*Tabla134[[#This Row],[Porciones]]</f>
        <v>46164</v>
      </c>
      <c r="E6" s="99"/>
      <c r="F6" s="93">
        <v>1</v>
      </c>
      <c r="G6" s="29">
        <f>Brownies!C30</f>
        <v>15388</v>
      </c>
      <c r="H6" s="29">
        <f t="shared" si="0"/>
        <v>46164</v>
      </c>
    </row>
    <row r="7" spans="2:8" x14ac:dyDescent="0.2">
      <c r="B7" s="95" t="s">
        <v>69</v>
      </c>
      <c r="C7" s="125">
        <f t="shared" si="1"/>
        <v>12104</v>
      </c>
      <c r="D7" s="99">
        <f t="shared" ref="D7:D24" si="2">H7/F7</f>
        <v>36312</v>
      </c>
      <c r="E7" s="99"/>
      <c r="F7" s="93">
        <v>1</v>
      </c>
      <c r="G7" s="29">
        <f>Brownies!C$30*1/2+'Valores y Totales'!C$21*200+'Merengue Italiano'!D32+'Valores y Totales'!C$11*300</f>
        <v>12104</v>
      </c>
      <c r="H7" s="29">
        <f t="shared" si="0"/>
        <v>36312</v>
      </c>
    </row>
    <row r="8" spans="2:8" x14ac:dyDescent="0.2">
      <c r="B8" s="95" t="s">
        <v>70</v>
      </c>
      <c r="C8" s="125">
        <f t="shared" si="1"/>
        <v>8584.3333333333321</v>
      </c>
      <c r="D8" s="99">
        <f t="shared" si="2"/>
        <v>25752.999999999996</v>
      </c>
      <c r="E8" s="99"/>
      <c r="F8" s="93">
        <v>1</v>
      </c>
      <c r="G8" s="29">
        <f>Brownies!C$30*1/3+'Valores y Totales'!C$21*100+'Merengue Italiano'!D32*1/2++'Valores y Totales'!C$21*200</f>
        <v>8584.3333333333321</v>
      </c>
      <c r="H8" s="29">
        <f t="shared" si="0"/>
        <v>25752.999999999996</v>
      </c>
    </row>
    <row r="9" spans="2:8" x14ac:dyDescent="0.2">
      <c r="B9" s="95" t="s">
        <v>71</v>
      </c>
      <c r="C9" s="125">
        <f t="shared" si="1"/>
        <v>17194</v>
      </c>
      <c r="D9" s="99">
        <f t="shared" si="2"/>
        <v>51582</v>
      </c>
      <c r="E9" s="99"/>
      <c r="F9" s="93">
        <v>1</v>
      </c>
      <c r="G9" s="29">
        <f>Brownies!C$30*1/2+'Frosting Bariloche'!D$32*1+'Valores y Totales'!C$21*200</f>
        <v>17194</v>
      </c>
      <c r="H9" s="29">
        <f>G9*3</f>
        <v>51582</v>
      </c>
    </row>
    <row r="10" spans="2:8" x14ac:dyDescent="0.2">
      <c r="B10" s="95" t="s">
        <v>72</v>
      </c>
      <c r="C10" s="125">
        <f t="shared" si="1"/>
        <v>9879.3333333333321</v>
      </c>
      <c r="D10" s="99">
        <f t="shared" si="2"/>
        <v>29637.999999999996</v>
      </c>
      <c r="E10" s="99"/>
      <c r="F10" s="93">
        <v>1</v>
      </c>
      <c r="G10" s="29">
        <f>Brownies!C$30*1/3+'Frosting Bariloche'!D$32*1/2+'Valores y Totales'!C$21*100</f>
        <v>9879.3333333333321</v>
      </c>
      <c r="H10" s="29">
        <f>G10*3</f>
        <v>29637.999999999996</v>
      </c>
    </row>
    <row r="11" spans="2:8" x14ac:dyDescent="0.2">
      <c r="B11" s="95" t="s">
        <v>73</v>
      </c>
      <c r="C11" s="125">
        <f t="shared" si="1"/>
        <v>2250</v>
      </c>
      <c r="D11" s="99">
        <f t="shared" si="2"/>
        <v>6750</v>
      </c>
      <c r="E11" s="99"/>
      <c r="F11" s="37">
        <f>'Budin de Banana'!C29</f>
        <v>2</v>
      </c>
      <c r="G11" s="38">
        <f>'Budin de Banana'!C30</f>
        <v>4500</v>
      </c>
      <c r="H11" s="38">
        <f t="shared" si="0"/>
        <v>13500</v>
      </c>
    </row>
    <row r="12" spans="2:8" x14ac:dyDescent="0.2">
      <c r="B12" s="95" t="s">
        <v>74</v>
      </c>
      <c r="C12" s="125">
        <f t="shared" si="1"/>
        <v>1500</v>
      </c>
      <c r="D12" s="99">
        <f t="shared" si="2"/>
        <v>4500</v>
      </c>
      <c r="E12" s="99"/>
      <c r="F12" s="37">
        <f>'Budin de Manzanas'!C29</f>
        <v>2</v>
      </c>
      <c r="G12" s="38">
        <f>'Budin de Manzanas'!C30</f>
        <v>3000</v>
      </c>
      <c r="H12" s="38">
        <f>G12*3</f>
        <v>9000</v>
      </c>
    </row>
    <row r="13" spans="2:8" x14ac:dyDescent="0.2">
      <c r="B13" s="95" t="s">
        <v>75</v>
      </c>
      <c r="C13" s="125">
        <f t="shared" si="1"/>
        <v>180.90277777777777</v>
      </c>
      <c r="D13" s="99">
        <f t="shared" si="2"/>
        <v>542.70833333333337</v>
      </c>
      <c r="E13" s="99">
        <f>Tabla134[[#This Row],[Precio al Público]]*12</f>
        <v>6512.5</v>
      </c>
      <c r="F13" s="76">
        <f>Cakepops!D30</f>
        <v>36</v>
      </c>
      <c r="G13" s="75">
        <f>Cakepops!C31</f>
        <v>6512.5</v>
      </c>
      <c r="H13" s="75">
        <f t="shared" si="0"/>
        <v>19537.5</v>
      </c>
    </row>
    <row r="14" spans="2:8" x14ac:dyDescent="0.2">
      <c r="B14" s="95" t="s">
        <v>76</v>
      </c>
      <c r="C14" s="125">
        <f t="shared" si="1"/>
        <v>77.581499999999991</v>
      </c>
      <c r="D14" s="99">
        <f t="shared" si="2"/>
        <v>232.74449999999996</v>
      </c>
      <c r="E14" s="99">
        <f>Tabla134[[#This Row],[Precio al Público]]*12</f>
        <v>2792.9339999999993</v>
      </c>
      <c r="F14" s="77">
        <f>'Cookies Pasas y Nueces'!C29</f>
        <v>100</v>
      </c>
      <c r="G14" s="78">
        <f>'Cookies Pasas y Nueces'!C30</f>
        <v>7758.15</v>
      </c>
      <c r="H14" s="78">
        <f t="shared" si="0"/>
        <v>23274.449999999997</v>
      </c>
    </row>
    <row r="15" spans="2:8" x14ac:dyDescent="0.2">
      <c r="B15" s="95" t="s">
        <v>77</v>
      </c>
      <c r="C15" s="125">
        <f t="shared" si="1"/>
        <v>92.25</v>
      </c>
      <c r="D15" s="99">
        <f t="shared" si="2"/>
        <v>276.75</v>
      </c>
      <c r="E15" s="99">
        <f>Tabla134[[#This Row],[Precio al Público]]*12</f>
        <v>3321</v>
      </c>
      <c r="F15" s="77">
        <f>'Cookies Vaini-Chips Rocklets'!C29</f>
        <v>80</v>
      </c>
      <c r="G15" s="78">
        <f>'Cookies Vaini-Chips Rocklets'!C30</f>
        <v>7380</v>
      </c>
      <c r="H15" s="78">
        <f t="shared" si="0"/>
        <v>22140</v>
      </c>
    </row>
    <row r="16" spans="2:8" x14ac:dyDescent="0.2">
      <c r="B16" s="95" t="s">
        <v>78</v>
      </c>
      <c r="C16" s="125">
        <f t="shared" si="1"/>
        <v>147.22222222222223</v>
      </c>
      <c r="D16" s="99">
        <f t="shared" si="2"/>
        <v>441.66666666666669</v>
      </c>
      <c r="E16" s="99">
        <f>Tabla134[[#This Row],[Precio al Público]]*12</f>
        <v>5300</v>
      </c>
      <c r="F16" s="76">
        <f>'Donas de Vainilla'!C29</f>
        <v>36</v>
      </c>
      <c r="G16" s="75">
        <f>'Donas de Vainilla'!C30</f>
        <v>5300</v>
      </c>
      <c r="H16" s="75">
        <f t="shared" si="0"/>
        <v>15900</v>
      </c>
    </row>
    <row r="17" spans="2:8" x14ac:dyDescent="0.2">
      <c r="B17" s="95" t="s">
        <v>79</v>
      </c>
      <c r="C17" s="125">
        <f t="shared" si="1"/>
        <v>4855.5</v>
      </c>
      <c r="D17" s="99">
        <f t="shared" si="2"/>
        <v>14566.5</v>
      </c>
      <c r="E17" s="99"/>
      <c r="F17" s="79">
        <v>1</v>
      </c>
      <c r="G17" s="80">
        <f>'Espumita de Limon'!C30</f>
        <v>4855.5</v>
      </c>
      <c r="H17" s="80">
        <f t="shared" si="0"/>
        <v>14566.5</v>
      </c>
    </row>
    <row r="18" spans="2:8" x14ac:dyDescent="0.2">
      <c r="B18" s="95" t="s">
        <v>80</v>
      </c>
      <c r="C18" s="125">
        <f t="shared" si="1"/>
        <v>95.45</v>
      </c>
      <c r="D18" s="99">
        <f t="shared" si="2"/>
        <v>286.35000000000002</v>
      </c>
      <c r="E18" s="99">
        <f>Tabla134[[#This Row],[Precio al Público]]*12</f>
        <v>3436.2000000000003</v>
      </c>
      <c r="F18" s="76">
        <f>'Masitas de Manteca'!C29</f>
        <v>40</v>
      </c>
      <c r="G18" s="75">
        <f>'Masitas de Manteca'!C30</f>
        <v>3818</v>
      </c>
      <c r="H18" s="75">
        <f t="shared" si="0"/>
        <v>11454</v>
      </c>
    </row>
    <row r="19" spans="2:8" x14ac:dyDescent="0.2">
      <c r="B19" s="95" t="s">
        <v>81</v>
      </c>
      <c r="C19" s="125">
        <f t="shared" si="1"/>
        <v>4808.0666666666675</v>
      </c>
      <c r="D19" s="99">
        <f t="shared" si="2"/>
        <v>14424.200000000003</v>
      </c>
      <c r="E19" s="99"/>
      <c r="F19" s="83">
        <f>'Torta Galesa'!C29</f>
        <v>2</v>
      </c>
      <c r="G19" s="84">
        <f>'Torta Galesa'!C30</f>
        <v>9616.133333333335</v>
      </c>
      <c r="H19" s="84">
        <f t="shared" si="0"/>
        <v>28848.400000000005</v>
      </c>
    </row>
    <row r="20" spans="2:8" x14ac:dyDescent="0.2">
      <c r="B20" s="95" t="s">
        <v>82</v>
      </c>
      <c r="C20" s="125">
        <f t="shared" si="1"/>
        <v>23662.5</v>
      </c>
      <c r="D20" s="99">
        <f t="shared" si="2"/>
        <v>70987.5</v>
      </c>
      <c r="E20" s="99"/>
      <c r="F20" s="42">
        <v>1</v>
      </c>
      <c r="G20" s="85">
        <f>'Torta Butter Cream 18'!E6</f>
        <v>23662.5</v>
      </c>
      <c r="H20" s="85">
        <f>G20*3</f>
        <v>70987.5</v>
      </c>
    </row>
    <row r="21" spans="2:8" x14ac:dyDescent="0.2">
      <c r="B21" s="95" t="s">
        <v>83</v>
      </c>
      <c r="C21" s="125">
        <f t="shared" si="1"/>
        <v>14025</v>
      </c>
      <c r="D21" s="99">
        <f t="shared" si="2"/>
        <v>42075</v>
      </c>
      <c r="E21" s="99"/>
      <c r="F21" s="42">
        <v>1</v>
      </c>
      <c r="G21" s="85">
        <f>'Torta Butter Cream 15 cm'!E6</f>
        <v>14025</v>
      </c>
      <c r="H21" s="85">
        <f>G21*3</f>
        <v>42075</v>
      </c>
    </row>
    <row r="22" spans="2:8" x14ac:dyDescent="0.2">
      <c r="B22" s="95" t="s">
        <v>84</v>
      </c>
      <c r="C22" s="125">
        <f>G22/F22</f>
        <v>12210</v>
      </c>
      <c r="D22" s="99">
        <f t="shared" si="2"/>
        <v>36630</v>
      </c>
      <c r="E22" s="99"/>
      <c r="F22" s="42">
        <v>1</v>
      </c>
      <c r="G22" s="85">
        <f>'Torta Number'!E6</f>
        <v>12210</v>
      </c>
      <c r="H22" s="85">
        <f>G22*3</f>
        <v>36630</v>
      </c>
    </row>
    <row r="23" spans="2:8" x14ac:dyDescent="0.2">
      <c r="B23" s="95" t="s">
        <v>85</v>
      </c>
      <c r="C23" s="125">
        <f>G23/F23</f>
        <v>5305</v>
      </c>
      <c r="D23" s="99">
        <f t="shared" si="2"/>
        <v>15915</v>
      </c>
      <c r="E23" s="99"/>
      <c r="F23" s="81">
        <f>'Pastafrola Dulce de Leche'!C29</f>
        <v>2</v>
      </c>
      <c r="G23" s="82">
        <f>'Pastafrola Dulce de Leche'!C30</f>
        <v>10610</v>
      </c>
      <c r="H23" s="82">
        <f t="shared" si="0"/>
        <v>31830</v>
      </c>
    </row>
    <row r="24" spans="2:8" x14ac:dyDescent="0.2">
      <c r="B24" s="100" t="s">
        <v>86</v>
      </c>
      <c r="C24" s="125">
        <f>G24/F24</f>
        <v>1380.1</v>
      </c>
      <c r="D24" s="99">
        <f t="shared" si="2"/>
        <v>4140.2999999999993</v>
      </c>
      <c r="E24" s="99"/>
      <c r="F24" s="94">
        <v>1</v>
      </c>
      <c r="G24" s="90">
        <f>Cascaritas!D$32/5</f>
        <v>1380.1</v>
      </c>
      <c r="H24" s="90">
        <f>G24*3</f>
        <v>4140.2999999999993</v>
      </c>
    </row>
    <row r="25" spans="2:8" x14ac:dyDescent="0.2">
      <c r="B25" s="2" t="s">
        <v>87</v>
      </c>
      <c r="C25" s="126">
        <f>Pepas!C33</f>
        <v>96.5</v>
      </c>
      <c r="D25" s="29">
        <f t="shared" ref="D25:D32" si="3">C25*3</f>
        <v>289.5</v>
      </c>
      <c r="E25" s="29">
        <f>D25*12</f>
        <v>3474</v>
      </c>
    </row>
    <row r="26" spans="2:8" x14ac:dyDescent="0.2">
      <c r="B26" s="2" t="s">
        <v>88</v>
      </c>
      <c r="C26" s="126">
        <f>'Crema Bariloche'!C30</f>
        <v>8160</v>
      </c>
      <c r="D26" s="29">
        <f t="shared" si="3"/>
        <v>24480</v>
      </c>
      <c r="E26" s="29"/>
    </row>
    <row r="27" spans="2:8" x14ac:dyDescent="0.2">
      <c r="B27" s="2" t="s">
        <v>89</v>
      </c>
      <c r="C27" s="126">
        <f>'Butter Cream Odra'!C30</f>
        <v>6900</v>
      </c>
      <c r="D27" s="29">
        <f t="shared" si="3"/>
        <v>20700</v>
      </c>
      <c r="E27" s="29"/>
    </row>
    <row r="28" spans="2:8" x14ac:dyDescent="0.2">
      <c r="B28" s="2" t="s">
        <v>90</v>
      </c>
      <c r="C28" s="126">
        <f>'Torta Manteca ODRA'!C30</f>
        <v>6775</v>
      </c>
      <c r="D28" s="29">
        <f t="shared" si="3"/>
        <v>20325</v>
      </c>
      <c r="E28" s="29"/>
    </row>
    <row r="29" spans="2:8" x14ac:dyDescent="0.2">
      <c r="B29" s="2" t="s">
        <v>91</v>
      </c>
      <c r="C29" s="126">
        <f>'Bombon Nuez con Chocolate'!C30/'Bombon Nuez con Chocolate'!C29</f>
        <v>326</v>
      </c>
      <c r="D29" s="29">
        <f t="shared" si="3"/>
        <v>978</v>
      </c>
      <c r="E29" s="29"/>
    </row>
    <row r="30" spans="2:8" x14ac:dyDescent="0.2">
      <c r="B30" s="2" t="s">
        <v>92</v>
      </c>
      <c r="C30" s="126">
        <f>'Alfajores de Chocolate 4 cm NUT'!C32</f>
        <v>211.58499999999998</v>
      </c>
      <c r="D30" s="29">
        <f t="shared" si="3"/>
        <v>634.75499999999988</v>
      </c>
      <c r="E30" s="29">
        <f>D30*12</f>
        <v>7617.0599999999986</v>
      </c>
    </row>
    <row r="31" spans="2:8" x14ac:dyDescent="0.2">
      <c r="B31" s="2" t="s">
        <v>93</v>
      </c>
      <c r="C31" s="126">
        <f>'Alfajores de Maicena 4 cm'!C33</f>
        <v>178.38095238095238</v>
      </c>
      <c r="D31" s="29">
        <f t="shared" si="3"/>
        <v>535.14285714285711</v>
      </c>
      <c r="E31" s="29">
        <f>D31*12</f>
        <v>6421.7142857142853</v>
      </c>
    </row>
    <row r="32" spans="2:8" x14ac:dyDescent="0.2">
      <c r="B32" s="2" t="s">
        <v>94</v>
      </c>
      <c r="C32" s="126">
        <f>'Alfajores de Chocolate 4 cm'!C32</f>
        <v>302.125</v>
      </c>
      <c r="D32" s="29">
        <f t="shared" si="3"/>
        <v>906.375</v>
      </c>
      <c r="E32" s="29">
        <f>D32*12</f>
        <v>10876.5</v>
      </c>
    </row>
    <row r="33" spans="2:8" x14ac:dyDescent="0.2">
      <c r="B33" s="27" t="s">
        <v>95</v>
      </c>
      <c r="C33" s="131">
        <f>'Minifrola-Membrillo'!C33</f>
        <v>779</v>
      </c>
      <c r="D33" s="33">
        <f>C33*3</f>
        <v>2337</v>
      </c>
      <c r="E33" s="27"/>
    </row>
    <row r="34" spans="2:8" x14ac:dyDescent="0.2">
      <c r="B34" s="121" t="s">
        <v>96</v>
      </c>
      <c r="C34" s="127">
        <f>'Tarta de Coco placa 20x30'!C33</f>
        <v>292.26666666666665</v>
      </c>
      <c r="D34" s="128">
        <f>C34*3</f>
        <v>876.8</v>
      </c>
      <c r="E34" s="128">
        <f>D34*12</f>
        <v>10521.599999999999</v>
      </c>
      <c r="F34" s="129">
        <v>30</v>
      </c>
      <c r="G34" s="130">
        <f>'Tarta de Coco placa 20x30'!C31</f>
        <v>8768</v>
      </c>
      <c r="H34" s="130">
        <f>G34*3</f>
        <v>26304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pageSetUpPr fitToPage="1"/>
  </sheetPr>
  <dimension ref="B1:G49"/>
  <sheetViews>
    <sheetView zoomScale="90" zoomScaleNormal="90" workbookViewId="0">
      <pane xSplit="2" ySplit="1" topLeftCell="C2" activePane="bottomRight" state="frozen"/>
      <selection pane="bottomLeft" activeCell="A2" sqref="A2"/>
      <selection pane="topRight" activeCell="C1" sqref="C1"/>
      <selection pane="bottomRight" activeCell="C1" sqref="C1"/>
    </sheetView>
  </sheetViews>
  <sheetFormatPr defaultColWidth="11.43359375" defaultRowHeight="15" x14ac:dyDescent="0.2"/>
  <cols>
    <col min="1" max="1" width="3.09375" customWidth="1"/>
    <col min="2" max="2" width="40.0859375" customWidth="1"/>
    <col min="3" max="3" width="27.0390625" style="86" customWidth="1"/>
    <col min="4" max="4" width="24.88671875" style="28" customWidth="1"/>
    <col min="5" max="5" width="12.64453125" customWidth="1"/>
    <col min="6" max="6" width="15.73828125" style="28" customWidth="1"/>
    <col min="7" max="7" width="25.421875" style="28" customWidth="1"/>
  </cols>
  <sheetData>
    <row r="1" spans="2:7" x14ac:dyDescent="0.2">
      <c r="B1" s="112" t="s">
        <v>59</v>
      </c>
      <c r="C1" s="113" t="s">
        <v>35</v>
      </c>
      <c r="D1" s="114" t="s">
        <v>97</v>
      </c>
      <c r="E1" s="114" t="s">
        <v>62</v>
      </c>
      <c r="F1" s="114" t="s">
        <v>33</v>
      </c>
      <c r="G1" s="114" t="s">
        <v>63</v>
      </c>
    </row>
    <row r="2" spans="2:7" x14ac:dyDescent="0.2">
      <c r="B2" s="106" t="s">
        <v>98</v>
      </c>
      <c r="C2" s="107">
        <f t="shared" ref="C2:C32" si="0">F2/E2</f>
        <v>176.0625</v>
      </c>
      <c r="D2" s="108">
        <f t="shared" ref="D2:D32" si="1">G2/E2</f>
        <v>528.1875</v>
      </c>
      <c r="E2" s="106">
        <f>'Alfajores de Chocolate'!C29</f>
        <v>80</v>
      </c>
      <c r="F2" s="108">
        <f>'Alfajores de Chocolate'!C30</f>
        <v>14085</v>
      </c>
      <c r="G2" s="108">
        <f t="shared" ref="G2:G32" si="2">F2*3</f>
        <v>42255</v>
      </c>
    </row>
    <row r="3" spans="2:7" x14ac:dyDescent="0.2">
      <c r="B3" s="106" t="s">
        <v>99</v>
      </c>
      <c r="C3" s="107">
        <f t="shared" si="0"/>
        <v>118.58333333333333</v>
      </c>
      <c r="D3" s="108">
        <f t="shared" si="1"/>
        <v>355.75</v>
      </c>
      <c r="E3" s="106">
        <f>'Alfajores de Maicena'!C29</f>
        <v>80</v>
      </c>
      <c r="F3" s="108">
        <f>'Alfajores de Maicena'!C30</f>
        <v>9486.6666666666661</v>
      </c>
      <c r="G3" s="108">
        <f t="shared" si="2"/>
        <v>28460</v>
      </c>
    </row>
    <row r="4" spans="2:7" x14ac:dyDescent="0.2">
      <c r="B4" s="106" t="s">
        <v>66</v>
      </c>
      <c r="C4" s="107">
        <f t="shared" si="0"/>
        <v>95.875</v>
      </c>
      <c r="D4" s="108">
        <f t="shared" si="1"/>
        <v>287.625</v>
      </c>
      <c r="E4" s="106">
        <f>MiniRogel!C29</f>
        <v>80</v>
      </c>
      <c r="F4" s="108">
        <f>MiniRogel!C30</f>
        <v>7670</v>
      </c>
      <c r="G4" s="108">
        <f t="shared" si="2"/>
        <v>23010</v>
      </c>
    </row>
    <row r="5" spans="2:7" x14ac:dyDescent="0.2">
      <c r="B5" s="106" t="s">
        <v>100</v>
      </c>
      <c r="C5" s="109">
        <f>'Alfajores de Nuez'!C32</f>
        <v>209.08333333333334</v>
      </c>
      <c r="D5" s="110">
        <f>G5/E5</f>
        <v>627.25</v>
      </c>
      <c r="E5" s="106">
        <f>'Alfajores de Nuez'!C29</f>
        <v>60</v>
      </c>
      <c r="F5" s="108">
        <f>'Alfajores de Nuez'!C30</f>
        <v>12545</v>
      </c>
      <c r="G5" s="108">
        <f>F5*3</f>
        <v>37635</v>
      </c>
    </row>
    <row r="6" spans="2:7" x14ac:dyDescent="0.2">
      <c r="B6" s="106" t="s">
        <v>101</v>
      </c>
      <c r="C6" s="107">
        <f t="shared" si="0"/>
        <v>256.46666666666664</v>
      </c>
      <c r="D6" s="108">
        <f t="shared" si="1"/>
        <v>769.4</v>
      </c>
      <c r="E6" s="106">
        <f>Brownies!C29</f>
        <v>60</v>
      </c>
      <c r="F6" s="108">
        <f>Brownies!C30</f>
        <v>15388</v>
      </c>
      <c r="G6" s="108">
        <f t="shared" si="2"/>
        <v>46164</v>
      </c>
    </row>
    <row r="7" spans="2:7" x14ac:dyDescent="0.2">
      <c r="B7" s="106" t="s">
        <v>69</v>
      </c>
      <c r="C7" s="109">
        <f t="shared" ref="C7:C8" si="3">F7/E7</f>
        <v>12104</v>
      </c>
      <c r="D7" s="110">
        <f t="shared" ref="D7:D8" si="4">G7/E7</f>
        <v>36312</v>
      </c>
      <c r="E7" s="106">
        <v>1</v>
      </c>
      <c r="F7" s="108">
        <f>Brownies!C$30*1/2+'Valores y Totales'!C$21*200+'Merengue Italiano'!D32+'Valores y Totales'!C$11*300</f>
        <v>12104</v>
      </c>
      <c r="G7" s="108">
        <f t="shared" ref="G7:G8" si="5">F7*3</f>
        <v>36312</v>
      </c>
    </row>
    <row r="8" spans="2:7" x14ac:dyDescent="0.2">
      <c r="B8" s="106" t="s">
        <v>70</v>
      </c>
      <c r="C8" s="109">
        <f t="shared" si="3"/>
        <v>8584.3333333333321</v>
      </c>
      <c r="D8" s="110">
        <f t="shared" si="4"/>
        <v>25752.999999999996</v>
      </c>
      <c r="E8" s="106">
        <v>1</v>
      </c>
      <c r="F8" s="108">
        <f>Brownies!C$30*1/3+'Valores y Totales'!C$21*100+'Merengue Italiano'!D32*1/2++'Valores y Totales'!C$21*200</f>
        <v>8584.3333333333321</v>
      </c>
      <c r="G8" s="108">
        <f t="shared" si="5"/>
        <v>25752.999999999996</v>
      </c>
    </row>
    <row r="9" spans="2:7" x14ac:dyDescent="0.2">
      <c r="B9" s="106" t="s">
        <v>71</v>
      </c>
      <c r="C9" s="107">
        <f>F9/E9</f>
        <v>17194</v>
      </c>
      <c r="D9" s="108">
        <f>G9/E9</f>
        <v>51582</v>
      </c>
      <c r="E9" s="106">
        <v>1</v>
      </c>
      <c r="F9" s="108">
        <f>Brownies!C$30*1/2+'Frosting Bariloche'!D$32*1+'Valores y Totales'!C$21*200</f>
        <v>17194</v>
      </c>
      <c r="G9" s="108">
        <f>F9*3</f>
        <v>51582</v>
      </c>
    </row>
    <row r="10" spans="2:7" x14ac:dyDescent="0.2">
      <c r="B10" s="106" t="s">
        <v>72</v>
      </c>
      <c r="C10" s="107">
        <f>F10/E10</f>
        <v>9879.3333333333321</v>
      </c>
      <c r="D10" s="108">
        <f>G10/E10</f>
        <v>29637.999999999996</v>
      </c>
      <c r="E10" s="106">
        <v>1</v>
      </c>
      <c r="F10" s="108">
        <f>Brownies!C$30*1/3+'Frosting Bariloche'!D$32*1/2+'Valores y Totales'!C$21*100</f>
        <v>9879.3333333333321</v>
      </c>
      <c r="G10" s="108">
        <f>F10*3</f>
        <v>29637.999999999996</v>
      </c>
    </row>
    <row r="11" spans="2:7" x14ac:dyDescent="0.2">
      <c r="B11" s="106" t="s">
        <v>102</v>
      </c>
      <c r="C11" s="107">
        <f t="shared" si="0"/>
        <v>2250</v>
      </c>
      <c r="D11" s="108">
        <f t="shared" si="1"/>
        <v>6750</v>
      </c>
      <c r="E11" s="106">
        <f>'Budin de Banana'!C29</f>
        <v>2</v>
      </c>
      <c r="F11" s="108">
        <f>'Budin de Banana'!C30</f>
        <v>4500</v>
      </c>
      <c r="G11" s="108">
        <f t="shared" si="2"/>
        <v>13500</v>
      </c>
    </row>
    <row r="12" spans="2:7" x14ac:dyDescent="0.2">
      <c r="B12" s="106" t="s">
        <v>103</v>
      </c>
      <c r="C12" s="107">
        <f>F12/E12</f>
        <v>1500</v>
      </c>
      <c r="D12" s="108">
        <f>G12/E12</f>
        <v>4500</v>
      </c>
      <c r="E12" s="106">
        <f>'Budin de Manzanas'!C29</f>
        <v>2</v>
      </c>
      <c r="F12" s="108">
        <f>'Budin de Manzanas'!C30</f>
        <v>3000</v>
      </c>
      <c r="G12" s="108">
        <f>F12*3</f>
        <v>9000</v>
      </c>
    </row>
    <row r="13" spans="2:7" x14ac:dyDescent="0.2">
      <c r="B13" s="106" t="s">
        <v>75</v>
      </c>
      <c r="C13" s="107">
        <f t="shared" si="0"/>
        <v>180.90277777777777</v>
      </c>
      <c r="D13" s="108">
        <f t="shared" si="1"/>
        <v>542.70833333333337</v>
      </c>
      <c r="E13" s="106">
        <f>Cakepops!D30</f>
        <v>36</v>
      </c>
      <c r="F13" s="108">
        <f>Cakepops!C31</f>
        <v>6512.5</v>
      </c>
      <c r="G13" s="108">
        <f t="shared" si="2"/>
        <v>19537.5</v>
      </c>
    </row>
    <row r="14" spans="2:7" x14ac:dyDescent="0.2">
      <c r="B14" s="106" t="s">
        <v>104</v>
      </c>
      <c r="C14" s="107">
        <f t="shared" si="0"/>
        <v>98.333333333333329</v>
      </c>
      <c r="D14" s="108">
        <f t="shared" si="1"/>
        <v>295</v>
      </c>
      <c r="E14" s="106">
        <f>'Cookies Chocochips'!C28</f>
        <v>66</v>
      </c>
      <c r="F14" s="108">
        <f>'Cookies Chocochips'!C29</f>
        <v>6490</v>
      </c>
      <c r="G14" s="108">
        <f t="shared" si="2"/>
        <v>19470</v>
      </c>
    </row>
    <row r="15" spans="2:7" x14ac:dyDescent="0.2">
      <c r="B15" s="106" t="s">
        <v>76</v>
      </c>
      <c r="C15" s="107">
        <f t="shared" si="0"/>
        <v>77.581499999999991</v>
      </c>
      <c r="D15" s="108">
        <f t="shared" si="1"/>
        <v>232.74449999999996</v>
      </c>
      <c r="E15" s="106">
        <f>'Cookies Pasas y Nueces'!C29</f>
        <v>100</v>
      </c>
      <c r="F15" s="108">
        <f>'Cookies Pasas y Nueces'!C30</f>
        <v>7758.15</v>
      </c>
      <c r="G15" s="108">
        <f t="shared" si="2"/>
        <v>23274.449999999997</v>
      </c>
    </row>
    <row r="16" spans="2:7" x14ac:dyDescent="0.2">
      <c r="B16" s="106" t="s">
        <v>77</v>
      </c>
      <c r="C16" s="107">
        <f t="shared" ref="C16" si="6">F16/E16</f>
        <v>92.25</v>
      </c>
      <c r="D16" s="108">
        <f t="shared" ref="D16" si="7">G16/E16</f>
        <v>276.75</v>
      </c>
      <c r="E16" s="106">
        <f>'Cookies Vaini-Chips Rocklets'!C29</f>
        <v>80</v>
      </c>
      <c r="F16" s="108">
        <f>'Cookies Vaini-Chips Rocklets'!C30</f>
        <v>7380</v>
      </c>
      <c r="G16" s="108">
        <f t="shared" ref="G16" si="8">F16*3</f>
        <v>22140</v>
      </c>
    </row>
    <row r="17" spans="2:7" x14ac:dyDescent="0.2">
      <c r="B17" s="106" t="s">
        <v>105</v>
      </c>
      <c r="C17" s="107">
        <f t="shared" si="0"/>
        <v>163.25</v>
      </c>
      <c r="D17" s="108">
        <f t="shared" si="1"/>
        <v>489.75</v>
      </c>
      <c r="E17" s="106">
        <v>36</v>
      </c>
      <c r="F17" s="108">
        <f>'Donas de Chocolate'!C30</f>
        <v>5877</v>
      </c>
      <c r="G17" s="108">
        <f t="shared" si="2"/>
        <v>17631</v>
      </c>
    </row>
    <row r="18" spans="2:7" x14ac:dyDescent="0.2">
      <c r="B18" s="123" t="s">
        <v>106</v>
      </c>
      <c r="C18" s="133">
        <f>F18/E18</f>
        <v>313.47058823529414</v>
      </c>
      <c r="D18" s="134">
        <f>G18/E18</f>
        <v>940.41176470588232</v>
      </c>
      <c r="E18" s="106">
        <f>'Browkies - Cookies doble choco'!C28</f>
        <v>34</v>
      </c>
      <c r="F18" s="108">
        <f>'Browkies - Cookies doble choco'!C29</f>
        <v>10658</v>
      </c>
      <c r="G18" s="124">
        <f>F18*3</f>
        <v>31974</v>
      </c>
    </row>
    <row r="19" spans="2:7" x14ac:dyDescent="0.2">
      <c r="B19" s="123" t="s">
        <v>107</v>
      </c>
      <c r="C19" s="133">
        <f>F19/E19</f>
        <v>137.97916666666666</v>
      </c>
      <c r="D19" s="134">
        <f>G19/E19</f>
        <v>413.9375</v>
      </c>
      <c r="E19" s="106">
        <f>'Cookies Chip Taller'!C29</f>
        <v>24</v>
      </c>
      <c r="F19" s="108">
        <f>'Cookies Chip Taller'!C30</f>
        <v>3311.5</v>
      </c>
      <c r="G19" s="124">
        <f>F19*3</f>
        <v>9934.5</v>
      </c>
    </row>
    <row r="20" spans="2:7" x14ac:dyDescent="0.2">
      <c r="B20" s="106" t="s">
        <v>78</v>
      </c>
      <c r="C20" s="107">
        <f t="shared" ref="C20" si="9">F20/E20</f>
        <v>147.22222222222223</v>
      </c>
      <c r="D20" s="108">
        <f t="shared" ref="D20" si="10">G20/E20</f>
        <v>441.66666666666669</v>
      </c>
      <c r="E20" s="106">
        <f>'Donas de Vainilla'!C29</f>
        <v>36</v>
      </c>
      <c r="F20" s="108">
        <f>'Donas de Vainilla'!C30</f>
        <v>5300</v>
      </c>
      <c r="G20" s="108">
        <f t="shared" ref="G20" si="11">F20*3</f>
        <v>15900</v>
      </c>
    </row>
    <row r="21" spans="2:7" x14ac:dyDescent="0.2">
      <c r="B21" s="106" t="s">
        <v>108</v>
      </c>
      <c r="C21" s="107">
        <f t="shared" si="0"/>
        <v>161.85</v>
      </c>
      <c r="D21" s="108">
        <f t="shared" si="1"/>
        <v>485.55</v>
      </c>
      <c r="E21" s="106">
        <f>'Espumita de Limon'!C29</f>
        <v>30</v>
      </c>
      <c r="F21" s="108">
        <f>'Espumita de Limon'!C30</f>
        <v>4855.5</v>
      </c>
      <c r="G21" s="108">
        <f t="shared" si="2"/>
        <v>14566.5</v>
      </c>
    </row>
    <row r="22" spans="2:7" hidden="1" x14ac:dyDescent="0.2">
      <c r="B22" s="106" t="s">
        <v>109</v>
      </c>
      <c r="C22" s="107" t="e">
        <f t="shared" si="0"/>
        <v>#REF!</v>
      </c>
      <c r="D22" s="108" t="e">
        <f t="shared" si="1"/>
        <v>#REF!</v>
      </c>
      <c r="E22" s="106">
        <f>Ganache!C29</f>
        <v>1</v>
      </c>
      <c r="F22" s="108" t="e">
        <f>Ganache!C30</f>
        <v>#REF!</v>
      </c>
      <c r="G22" s="108" t="e">
        <f t="shared" si="2"/>
        <v>#REF!</v>
      </c>
    </row>
    <row r="23" spans="2:7" hidden="1" x14ac:dyDescent="0.2">
      <c r="B23" s="106" t="s">
        <v>110</v>
      </c>
      <c r="C23" s="107">
        <f t="shared" si="0"/>
        <v>2150</v>
      </c>
      <c r="D23" s="108">
        <f t="shared" si="1"/>
        <v>6450</v>
      </c>
      <c r="E23" s="106">
        <v>1</v>
      </c>
      <c r="F23" s="108">
        <f>Genoise!C30</f>
        <v>2150</v>
      </c>
      <c r="G23" s="108">
        <f t="shared" si="2"/>
        <v>6450</v>
      </c>
    </row>
    <row r="24" spans="2:7" x14ac:dyDescent="0.2">
      <c r="B24" s="106" t="s">
        <v>80</v>
      </c>
      <c r="C24" s="107">
        <f t="shared" si="0"/>
        <v>95.45</v>
      </c>
      <c r="D24" s="108">
        <f t="shared" si="1"/>
        <v>286.35000000000002</v>
      </c>
      <c r="E24" s="106">
        <f>'Masitas de Manteca'!C29</f>
        <v>40</v>
      </c>
      <c r="F24" s="108">
        <f>'Masitas de Manteca'!C30</f>
        <v>3818</v>
      </c>
      <c r="G24" s="108">
        <f t="shared" si="2"/>
        <v>11454</v>
      </c>
    </row>
    <row r="25" spans="2:7" x14ac:dyDescent="0.2">
      <c r="B25" s="106" t="s">
        <v>81</v>
      </c>
      <c r="C25" s="107">
        <f t="shared" si="0"/>
        <v>4808.0666666666675</v>
      </c>
      <c r="D25" s="108">
        <f t="shared" si="1"/>
        <v>14424.200000000003</v>
      </c>
      <c r="E25" s="106">
        <f>'Torta Galesa'!C29</f>
        <v>2</v>
      </c>
      <c r="F25" s="108">
        <f>'Torta Galesa'!C30</f>
        <v>9616.133333333335</v>
      </c>
      <c r="G25" s="108">
        <f t="shared" si="2"/>
        <v>28848.400000000005</v>
      </c>
    </row>
    <row r="26" spans="2:7" hidden="1" x14ac:dyDescent="0.2">
      <c r="B26" s="106" t="s">
        <v>111</v>
      </c>
      <c r="C26" s="107" t="e">
        <f>F26/E26</f>
        <v>#REF!</v>
      </c>
      <c r="D26" s="108" t="e">
        <f t="shared" ref="D26:D31" si="12">G26/E26</f>
        <v>#REF!</v>
      </c>
      <c r="E26" s="106">
        <v>1</v>
      </c>
      <c r="F26" s="108" t="e">
        <f>'Torta Forrada'!E8</f>
        <v>#REF!</v>
      </c>
      <c r="G26" s="108" t="e">
        <f t="shared" ref="G26:G31" si="13">F26*3</f>
        <v>#REF!</v>
      </c>
    </row>
    <row r="27" spans="2:7" x14ac:dyDescent="0.2">
      <c r="B27" s="106" t="s">
        <v>82</v>
      </c>
      <c r="C27" s="107">
        <f>F27/E27</f>
        <v>23662.5</v>
      </c>
      <c r="D27" s="108">
        <f t="shared" si="12"/>
        <v>70987.5</v>
      </c>
      <c r="E27" s="106">
        <v>1</v>
      </c>
      <c r="F27" s="108">
        <f>'Torta Butter Cream 18'!E6</f>
        <v>23662.5</v>
      </c>
      <c r="G27" s="108">
        <f t="shared" si="13"/>
        <v>70987.5</v>
      </c>
    </row>
    <row r="28" spans="2:7" x14ac:dyDescent="0.2">
      <c r="B28" s="106" t="s">
        <v>83</v>
      </c>
      <c r="C28" s="107">
        <f>F28/E28</f>
        <v>14025</v>
      </c>
      <c r="D28" s="108">
        <f t="shared" si="12"/>
        <v>42075</v>
      </c>
      <c r="E28" s="106">
        <v>1</v>
      </c>
      <c r="F28" s="108">
        <f>'Torta Butter Cream 15 cm'!E6</f>
        <v>14025</v>
      </c>
      <c r="G28" s="108">
        <f t="shared" si="13"/>
        <v>42075</v>
      </c>
    </row>
    <row r="29" spans="2:7" hidden="1" x14ac:dyDescent="0.2">
      <c r="B29" s="106" t="s">
        <v>112</v>
      </c>
      <c r="C29" s="107" t="e">
        <f>C26*0.5</f>
        <v>#REF!</v>
      </c>
      <c r="D29" s="108" t="e">
        <f t="shared" si="12"/>
        <v>#REF!</v>
      </c>
      <c r="E29" s="106">
        <v>1</v>
      </c>
      <c r="F29" s="107" t="e">
        <f>F26*0.5</f>
        <v>#REF!</v>
      </c>
      <c r="G29" s="108" t="e">
        <f t="shared" si="13"/>
        <v>#REF!</v>
      </c>
    </row>
    <row r="30" spans="2:7" hidden="1" x14ac:dyDescent="0.2">
      <c r="B30" s="106" t="s">
        <v>113</v>
      </c>
      <c r="C30" s="107" t="e">
        <f>C26*0.75</f>
        <v>#REF!</v>
      </c>
      <c r="D30" s="108" t="e">
        <f t="shared" si="12"/>
        <v>#REF!</v>
      </c>
      <c r="E30" s="106">
        <v>1</v>
      </c>
      <c r="F30" s="107" t="e">
        <f>F26*0.75</f>
        <v>#REF!</v>
      </c>
      <c r="G30" s="108" t="e">
        <f t="shared" si="13"/>
        <v>#REF!</v>
      </c>
    </row>
    <row r="31" spans="2:7" x14ac:dyDescent="0.2">
      <c r="B31" s="106" t="s">
        <v>84</v>
      </c>
      <c r="C31" s="109">
        <f>F31/E31</f>
        <v>12210</v>
      </c>
      <c r="D31" s="110">
        <f t="shared" si="12"/>
        <v>36630</v>
      </c>
      <c r="E31" s="106">
        <v>1</v>
      </c>
      <c r="F31" s="108">
        <f>'Torta Number'!E6</f>
        <v>12210</v>
      </c>
      <c r="G31" s="108">
        <f t="shared" si="13"/>
        <v>36630</v>
      </c>
    </row>
    <row r="32" spans="2:7" x14ac:dyDescent="0.2">
      <c r="B32" s="106" t="s">
        <v>85</v>
      </c>
      <c r="C32" s="107">
        <f t="shared" si="0"/>
        <v>5305</v>
      </c>
      <c r="D32" s="107">
        <f t="shared" si="1"/>
        <v>15915</v>
      </c>
      <c r="E32" s="107">
        <f>'Pastafrola Dulce de Leche'!C29</f>
        <v>2</v>
      </c>
      <c r="F32" s="107">
        <f>'Pastafrola Dulce de Leche'!C30</f>
        <v>10610</v>
      </c>
      <c r="G32" s="107">
        <f t="shared" si="2"/>
        <v>31830</v>
      </c>
    </row>
    <row r="33" spans="2:7" x14ac:dyDescent="0.2">
      <c r="B33" s="106" t="s">
        <v>114</v>
      </c>
      <c r="C33" s="107">
        <f>'Pastafrola Membrillo'!C33</f>
        <v>194.75</v>
      </c>
      <c r="D33" s="107">
        <f>G33/E33</f>
        <v>584.25</v>
      </c>
      <c r="E33" s="107">
        <f>'Pastafrola Membrillo'!C30</f>
        <v>60</v>
      </c>
      <c r="F33" s="107">
        <f>'Pastafrola Membrillo'!C31</f>
        <v>11685</v>
      </c>
      <c r="G33" s="107">
        <f>F33*3</f>
        <v>35055</v>
      </c>
    </row>
    <row r="34" spans="2:7" hidden="1" x14ac:dyDescent="0.2">
      <c r="B34" s="111" t="s">
        <v>86</v>
      </c>
      <c r="C34" s="109">
        <f>F34/E34</f>
        <v>1380.1</v>
      </c>
      <c r="D34" s="110">
        <f>G34/E34</f>
        <v>4140.2999999999993</v>
      </c>
      <c r="E34" s="106">
        <v>1</v>
      </c>
      <c r="F34" s="108">
        <f>Cascaritas!D$32/5</f>
        <v>1380.1</v>
      </c>
      <c r="G34" s="108">
        <f>F34*3</f>
        <v>4140.2999999999993</v>
      </c>
    </row>
    <row r="35" spans="2:7" x14ac:dyDescent="0.2">
      <c r="B35" s="106" t="s">
        <v>87</v>
      </c>
      <c r="C35" s="107">
        <f>Pepas!C33</f>
        <v>96.5</v>
      </c>
      <c r="D35" s="108">
        <f>C35*3</f>
        <v>289.5</v>
      </c>
      <c r="E35" s="106"/>
      <c r="F35" s="108"/>
      <c r="G35" s="108"/>
    </row>
    <row r="36" spans="2:7" x14ac:dyDescent="0.2">
      <c r="B36" s="106" t="s">
        <v>88</v>
      </c>
      <c r="C36" s="107">
        <f>'Crema Bariloche'!C30</f>
        <v>8160</v>
      </c>
      <c r="D36" s="108">
        <f>C36*3</f>
        <v>24480</v>
      </c>
      <c r="E36" s="106"/>
      <c r="F36" s="108"/>
      <c r="G36" s="108"/>
    </row>
    <row r="37" spans="2:7" x14ac:dyDescent="0.2">
      <c r="B37" s="106" t="s">
        <v>89</v>
      </c>
      <c r="C37" s="107">
        <f>'Butter Cream Odra'!C30</f>
        <v>6900</v>
      </c>
      <c r="D37" s="108">
        <f>C37*3</f>
        <v>20700</v>
      </c>
      <c r="E37" s="106"/>
      <c r="F37" s="108"/>
      <c r="G37" s="108"/>
    </row>
    <row r="38" spans="2:7" x14ac:dyDescent="0.2">
      <c r="B38" s="106" t="s">
        <v>90</v>
      </c>
      <c r="C38" s="107">
        <f>'Torta Manteca ODRA'!C30</f>
        <v>6775</v>
      </c>
      <c r="D38" s="108">
        <f>C38*3</f>
        <v>20325</v>
      </c>
      <c r="E38" s="106"/>
      <c r="F38" s="108"/>
      <c r="G38" s="108"/>
    </row>
    <row r="39" spans="2:7" x14ac:dyDescent="0.2">
      <c r="B39" s="106" t="s">
        <v>91</v>
      </c>
      <c r="C39" s="107">
        <f>'Bombon Nuez con Chocolate'!C30/'Bombon Nuez con Chocolate'!C29</f>
        <v>326</v>
      </c>
      <c r="D39" s="108">
        <f>C39*3</f>
        <v>978</v>
      </c>
      <c r="E39" s="106"/>
      <c r="F39" s="108"/>
      <c r="G39" s="108"/>
    </row>
    <row r="40" spans="2:7" x14ac:dyDescent="0.2">
      <c r="B40" s="106" t="s">
        <v>92</v>
      </c>
      <c r="C40" s="107">
        <f>'Alfajores de Chocolate 4 cm NUT'!C32</f>
        <v>211.58499999999998</v>
      </c>
      <c r="D40" s="108">
        <f>C40*3</f>
        <v>634.75499999999988</v>
      </c>
      <c r="E40" s="106"/>
      <c r="F40" s="108"/>
      <c r="G40" s="108"/>
    </row>
    <row r="41" spans="2:7" x14ac:dyDescent="0.2">
      <c r="B41" s="106" t="s">
        <v>93</v>
      </c>
      <c r="C41" s="107">
        <f>'Alfajores de Maicena 4 cm'!C33</f>
        <v>178.38095238095238</v>
      </c>
      <c r="D41" s="108">
        <f>C41*3</f>
        <v>535.14285714285711</v>
      </c>
      <c r="E41" s="106"/>
      <c r="F41" s="108"/>
      <c r="G41" s="108"/>
    </row>
    <row r="42" spans="2:7" x14ac:dyDescent="0.2">
      <c r="B42" s="106" t="s">
        <v>94</v>
      </c>
      <c r="C42" s="107">
        <f>'Alfajores de Chocolate 4 cm'!C32</f>
        <v>302.125</v>
      </c>
      <c r="D42" s="108">
        <f>C42*3</f>
        <v>906.375</v>
      </c>
      <c r="E42" s="106"/>
      <c r="F42" s="108"/>
      <c r="G42" s="108"/>
    </row>
    <row r="43" spans="2:7" x14ac:dyDescent="0.2">
      <c r="B43" s="106" t="s">
        <v>95</v>
      </c>
      <c r="C43" s="107">
        <f>'Minifrola-Membrillo'!C33</f>
        <v>779</v>
      </c>
      <c r="D43" s="108">
        <f>C43*3</f>
        <v>2337</v>
      </c>
      <c r="E43" s="106"/>
      <c r="F43" s="108"/>
      <c r="G43" s="108"/>
    </row>
    <row r="44" spans="2:7" x14ac:dyDescent="0.2">
      <c r="B44" s="106" t="s">
        <v>115</v>
      </c>
      <c r="C44" s="107">
        <f>'Minifrola-DDL'!C33</f>
        <v>700.33333333333337</v>
      </c>
      <c r="D44" s="108">
        <f>C44*3</f>
        <v>2101</v>
      </c>
      <c r="E44" s="106"/>
      <c r="F44" s="108"/>
      <c r="G44" s="108"/>
    </row>
    <row r="45" spans="2:7" x14ac:dyDescent="0.2">
      <c r="B45" s="106" t="s">
        <v>116</v>
      </c>
      <c r="C45" s="107">
        <f>'Minifrola-DDL-Coco'!C33</f>
        <v>1054.3333333333333</v>
      </c>
      <c r="D45" s="108">
        <f>C45*3</f>
        <v>3163</v>
      </c>
      <c r="E45" s="106"/>
      <c r="F45" s="108"/>
      <c r="G45" s="108"/>
    </row>
    <row r="46" spans="2:7" x14ac:dyDescent="0.2">
      <c r="B46" s="106" t="s">
        <v>117</v>
      </c>
      <c r="C46" s="107">
        <f>'Minifrola-Manzana'!C33</f>
        <v>788.6</v>
      </c>
      <c r="D46" s="108">
        <f>C46*3</f>
        <v>2365.8000000000002</v>
      </c>
      <c r="E46" s="106"/>
      <c r="F46" s="108"/>
      <c r="G46" s="108"/>
    </row>
    <row r="47" spans="2:7" x14ac:dyDescent="0.2">
      <c r="B47" s="106" t="s">
        <v>118</v>
      </c>
      <c r="C47" s="107">
        <f>'Tarta de Coco placa 20x30'!C32</f>
        <v>292.26666666666665</v>
      </c>
      <c r="D47" s="108">
        <f>G47/E47</f>
        <v>876.8</v>
      </c>
      <c r="E47" s="106">
        <f>'Tarta de Coco placa 20x30'!C30</f>
        <v>30</v>
      </c>
      <c r="F47" s="108">
        <f>'Tarta de Coco placa 20x30'!C31</f>
        <v>8768</v>
      </c>
      <c r="G47" s="108">
        <f>F47*3</f>
        <v>26304</v>
      </c>
    </row>
    <row r="48" spans="2:7" x14ac:dyDescent="0.2">
      <c r="B48" s="106" t="s">
        <v>81</v>
      </c>
      <c r="C48" s="107">
        <f>'Torta Galesa'!C32</f>
        <v>4808.0666666666675</v>
      </c>
      <c r="D48" s="108">
        <f>C48*3</f>
        <v>14424.200000000003</v>
      </c>
      <c r="E48" s="106"/>
      <c r="F48" s="108"/>
      <c r="G48" s="108"/>
    </row>
    <row r="49" spans="2:7" x14ac:dyDescent="0.2">
      <c r="B49" s="106" t="s">
        <v>119</v>
      </c>
      <c r="C49" s="107">
        <f>'Budin de Arandanos'!C32</f>
        <v>3250.5</v>
      </c>
      <c r="D49" s="108">
        <f>C49*3</f>
        <v>9751.5</v>
      </c>
      <c r="E49" s="106"/>
      <c r="F49" s="108"/>
      <c r="G49" s="108"/>
    </row>
  </sheetData>
  <pageMargins left="0.7" right="0.7" top="0.75" bottom="0.75" header="0.3" footer="0.3"/>
  <pageSetup orientation="landscape" verticalDpi="30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E6"/>
  <sheetViews>
    <sheetView workbookViewId="0">
      <selection activeCell="E6" sqref="E6"/>
    </sheetView>
  </sheetViews>
  <sheetFormatPr defaultColWidth="11.43359375" defaultRowHeight="15" x14ac:dyDescent="0.2"/>
  <cols>
    <col min="2" max="2" width="19.234375" bestFit="1" customWidth="1"/>
  </cols>
  <sheetData>
    <row r="2" spans="2:5" x14ac:dyDescent="0.2">
      <c r="B2" s="2" t="s">
        <v>120</v>
      </c>
      <c r="C2" s="2">
        <v>1</v>
      </c>
      <c r="D2" s="2">
        <f>'Merengue Italiano'!C30</f>
        <v>910</v>
      </c>
      <c r="E2" s="2">
        <f t="shared" ref="E2:E5" si="0">C2*D2</f>
        <v>910</v>
      </c>
    </row>
    <row r="3" spans="2:5" x14ac:dyDescent="0.2">
      <c r="B3" s="2" t="s">
        <v>110</v>
      </c>
      <c r="C3" s="2">
        <v>2</v>
      </c>
      <c r="D3" s="2">
        <f>Genoise!C30</f>
        <v>2150</v>
      </c>
      <c r="E3" s="2">
        <f t="shared" si="0"/>
        <v>4300</v>
      </c>
    </row>
    <row r="4" spans="2:5" x14ac:dyDescent="0.2">
      <c r="B4" s="2" t="s">
        <v>14</v>
      </c>
      <c r="C4" s="2">
        <v>1000</v>
      </c>
      <c r="D4" s="2">
        <f>'Valores y Totales'!C11</f>
        <v>5</v>
      </c>
      <c r="E4" s="2">
        <f t="shared" si="0"/>
        <v>5000</v>
      </c>
    </row>
    <row r="5" spans="2:5" x14ac:dyDescent="0.2">
      <c r="B5" s="2" t="s">
        <v>121</v>
      </c>
      <c r="C5" s="2">
        <v>250</v>
      </c>
      <c r="D5" s="2">
        <f>'Valores y Totales'!C26</f>
        <v>8</v>
      </c>
      <c r="E5" s="2">
        <f t="shared" si="0"/>
        <v>2000</v>
      </c>
    </row>
    <row r="6" spans="2:5" x14ac:dyDescent="0.2">
      <c r="B6" s="2"/>
      <c r="C6" s="2"/>
      <c r="D6" s="2"/>
      <c r="E6" s="2">
        <f>SUM(E2:E5)</f>
        <v>12210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E6"/>
  <sheetViews>
    <sheetView workbookViewId="0">
      <selection activeCell="B7" sqref="B7"/>
    </sheetView>
  </sheetViews>
  <sheetFormatPr defaultColWidth="11.43359375" defaultRowHeight="15" x14ac:dyDescent="0.2"/>
  <cols>
    <col min="2" max="2" width="19.234375" bestFit="1" customWidth="1"/>
  </cols>
  <sheetData>
    <row r="2" spans="2:5" x14ac:dyDescent="0.2">
      <c r="B2" s="2" t="s">
        <v>90</v>
      </c>
      <c r="C2" s="2">
        <v>1</v>
      </c>
      <c r="D2" s="2">
        <f>'Torta Manteca ODRA'!C30</f>
        <v>6775</v>
      </c>
      <c r="E2" s="2">
        <f>C2*D2</f>
        <v>6775</v>
      </c>
    </row>
    <row r="3" spans="2:5" x14ac:dyDescent="0.2">
      <c r="B3" s="2" t="s">
        <v>122</v>
      </c>
      <c r="C3" s="2">
        <v>0.5</v>
      </c>
      <c r="D3" s="2">
        <f>'Butter Cream Odra'!C30</f>
        <v>6900</v>
      </c>
      <c r="E3" s="2">
        <f>C3*D3</f>
        <v>3450</v>
      </c>
    </row>
    <row r="4" spans="2:5" x14ac:dyDescent="0.2">
      <c r="B4" s="2" t="s">
        <v>14</v>
      </c>
      <c r="C4" s="2">
        <v>600</v>
      </c>
      <c r="D4" s="2">
        <f>'Valores y Totales'!C11</f>
        <v>5</v>
      </c>
      <c r="E4" s="2">
        <f>C4*D4</f>
        <v>3000</v>
      </c>
    </row>
    <row r="5" spans="2:5" x14ac:dyDescent="0.2">
      <c r="B5" s="2" t="s">
        <v>121</v>
      </c>
      <c r="C5" s="2">
        <v>100</v>
      </c>
      <c r="D5" s="2">
        <f>'Valores y Totales'!C26</f>
        <v>8</v>
      </c>
      <c r="E5" s="2">
        <f>C5*D5</f>
        <v>800</v>
      </c>
    </row>
    <row r="6" spans="2:5" x14ac:dyDescent="0.2">
      <c r="B6" s="2"/>
      <c r="C6" s="2"/>
      <c r="D6" s="2"/>
      <c r="E6" s="2">
        <f>SUM(E2:E5)</f>
        <v>14025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E6"/>
  <sheetViews>
    <sheetView workbookViewId="0">
      <selection activeCell="K13" sqref="K13"/>
    </sheetView>
  </sheetViews>
  <sheetFormatPr defaultColWidth="11.43359375" defaultRowHeight="15" x14ac:dyDescent="0.2"/>
  <cols>
    <col min="2" max="2" width="19.234375" bestFit="1" customWidth="1"/>
  </cols>
  <sheetData>
    <row r="2" spans="2:5" x14ac:dyDescent="0.2">
      <c r="B2" s="2" t="s">
        <v>90</v>
      </c>
      <c r="C2" s="2">
        <v>1.5</v>
      </c>
      <c r="D2" s="2">
        <f>'Torta Manteca ODRA'!C30</f>
        <v>6775</v>
      </c>
      <c r="E2" s="2">
        <f>C2*D2</f>
        <v>10162.5</v>
      </c>
    </row>
    <row r="3" spans="2:5" x14ac:dyDescent="0.2">
      <c r="B3" s="2" t="s">
        <v>122</v>
      </c>
      <c r="C3" s="2">
        <v>1</v>
      </c>
      <c r="D3" s="2">
        <f>'Butter Cream Odra'!C30</f>
        <v>6900</v>
      </c>
      <c r="E3" s="2">
        <f>C3*D3</f>
        <v>6900</v>
      </c>
    </row>
    <row r="4" spans="2:5" x14ac:dyDescent="0.2">
      <c r="B4" s="2" t="s">
        <v>14</v>
      </c>
      <c r="C4" s="2">
        <v>1000</v>
      </c>
      <c r="D4" s="2">
        <f>'Valores y Totales'!C11</f>
        <v>5</v>
      </c>
      <c r="E4" s="2">
        <f>C4*D4</f>
        <v>5000</v>
      </c>
    </row>
    <row r="5" spans="2:5" x14ac:dyDescent="0.2">
      <c r="B5" s="2" t="s">
        <v>121</v>
      </c>
      <c r="C5" s="2">
        <v>200</v>
      </c>
      <c r="D5" s="2">
        <f>'Valores y Totales'!C26</f>
        <v>8</v>
      </c>
      <c r="E5" s="2">
        <f>C5*D5</f>
        <v>1600</v>
      </c>
    </row>
    <row r="6" spans="2:5" x14ac:dyDescent="0.2">
      <c r="B6" s="2"/>
      <c r="C6" s="2"/>
      <c r="D6" s="2"/>
      <c r="E6" s="2">
        <f>SUM(E2:E5)</f>
        <v>23662.5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G32"/>
  <sheetViews>
    <sheetView topLeftCell="A13" workbookViewId="0">
      <selection activeCell="C31" sqref="C31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500</v>
      </c>
      <c r="D2" s="5">
        <f>C2*'Valores y Totales'!C2</f>
        <v>5500</v>
      </c>
      <c r="E2" s="2">
        <f>G$1*C2</f>
        <v>500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4</v>
      </c>
      <c r="D6" s="5">
        <f>C6*'Valores y Totales'!B6</f>
        <v>840</v>
      </c>
      <c r="E6" s="2">
        <f t="shared" si="0"/>
        <v>4</v>
      </c>
    </row>
    <row r="7" spans="2:7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SUM(D2:D26)</f>
        <v>6900</v>
      </c>
      <c r="D30" s="12">
        <f>C30*G$1</f>
        <v>6900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6900</v>
      </c>
      <c r="D32" s="16">
        <f>C32</f>
        <v>6900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G32"/>
  <sheetViews>
    <sheetView topLeftCell="A17" workbookViewId="0">
      <selection activeCell="C18" sqref="C18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325</v>
      </c>
      <c r="D4" s="5">
        <f>C4*'Valores y Totales'!C4</f>
        <v>487.5</v>
      </c>
      <c r="E4" s="2">
        <f t="shared" si="0"/>
        <v>325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30</v>
      </c>
      <c r="D17" s="5">
        <f>C17*'Valores y Totales'!C17</f>
        <v>75</v>
      </c>
      <c r="E17" s="2">
        <f t="shared" si="0"/>
        <v>30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SUM(D2:D26)</f>
        <v>3312.5</v>
      </c>
      <c r="D30" s="12">
        <f>C30*G$1</f>
        <v>3312.5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3312.5</v>
      </c>
      <c r="D32" s="16">
        <f>C32</f>
        <v>3312.5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G32"/>
  <sheetViews>
    <sheetView topLeftCell="A10" workbookViewId="0">
      <selection activeCell="C30" sqref="C30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40</v>
      </c>
      <c r="D2" s="5">
        <f>C2*'Valores y Totales'!C2</f>
        <v>440</v>
      </c>
      <c r="E2" s="2">
        <f>G$1*C2</f>
        <v>40</v>
      </c>
    </row>
    <row r="3" spans="2:7" x14ac:dyDescent="0.2">
      <c r="B3" s="2" t="s">
        <v>6</v>
      </c>
      <c r="C3" s="1">
        <v>180</v>
      </c>
      <c r="D3" s="5">
        <f>C3*'Valores y Totales'!C3</f>
        <v>198.00000000000003</v>
      </c>
      <c r="E3" s="2">
        <f t="shared" ref="E3:E26" si="0">G$1*C3</f>
        <v>180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6</v>
      </c>
      <c r="D6" s="5">
        <f>C6*'Valores y Totales'!B6</f>
        <v>1260</v>
      </c>
      <c r="E6" s="2">
        <f t="shared" si="0"/>
        <v>6</v>
      </c>
    </row>
    <row r="7" spans="2:7" x14ac:dyDescent="0.2">
      <c r="B7" s="2" t="s">
        <v>10</v>
      </c>
      <c r="C7" s="2">
        <v>180</v>
      </c>
      <c r="D7" s="5">
        <f>C7*'Valores y Totales'!C7</f>
        <v>251.99999999999997</v>
      </c>
      <c r="E7" s="2">
        <f t="shared" si="0"/>
        <v>180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SUM(D2:D26)</f>
        <v>2150</v>
      </c>
      <c r="D30" s="12">
        <f>C30*G$1</f>
        <v>2150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2150</v>
      </c>
      <c r="D32" s="16">
        <f>C32</f>
        <v>2150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G32"/>
  <sheetViews>
    <sheetView topLeftCell="A18" workbookViewId="0">
      <selection activeCell="C32" sqref="C3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60</v>
      </c>
      <c r="D5" s="5">
        <f>C5*'Valores y Totales'!C5</f>
        <v>1500</v>
      </c>
      <c r="E5" s="2">
        <f t="shared" si="0"/>
        <v>60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50</v>
      </c>
      <c r="D12" s="5">
        <f>C12*'Valores y Totales'!C12</f>
        <v>500</v>
      </c>
      <c r="E12" s="2">
        <f t="shared" si="0"/>
        <v>50</v>
      </c>
    </row>
    <row r="13" spans="2:7" x14ac:dyDescent="0.2">
      <c r="B13" s="2" t="s">
        <v>16</v>
      </c>
      <c r="C13" s="2">
        <v>200</v>
      </c>
      <c r="D13" s="5">
        <f>C13*'Valores y Totales'!C13</f>
        <v>420</v>
      </c>
      <c r="E13" s="2">
        <f t="shared" si="0"/>
        <v>200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200</v>
      </c>
      <c r="D20" s="5">
        <f>C20*'Valores y Totales'!C20</f>
        <v>459.99999999999994</v>
      </c>
      <c r="E20" s="2">
        <f t="shared" si="0"/>
        <v>200</v>
      </c>
    </row>
    <row r="21" spans="2:6" x14ac:dyDescent="0.2">
      <c r="B21" s="2" t="s">
        <v>41</v>
      </c>
      <c r="C21" s="2">
        <v>150</v>
      </c>
      <c r="D21" s="5">
        <f>C21*'Valores y Totales'!C21</f>
        <v>1500</v>
      </c>
      <c r="E21" s="2">
        <f t="shared" si="0"/>
        <v>150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100</v>
      </c>
      <c r="D26" s="5">
        <f>C26*'Valores y Totales'!C26</f>
        <v>800</v>
      </c>
      <c r="E26" s="2">
        <f t="shared" si="0"/>
        <v>100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2</v>
      </c>
      <c r="D29" s="11">
        <f>C29*G$1</f>
        <v>2</v>
      </c>
      <c r="F29" s="25"/>
    </row>
    <row r="30" spans="2:6" x14ac:dyDescent="0.2">
      <c r="B30" s="3" t="s">
        <v>33</v>
      </c>
      <c r="C30" s="13">
        <f>SUM(D2:D26)</f>
        <v>7460</v>
      </c>
      <c r="D30" s="12">
        <f>C30*G$1</f>
        <v>7460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3730</v>
      </c>
      <c r="D32" s="16">
        <f>C32</f>
        <v>3730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2:F8"/>
  <sheetViews>
    <sheetView workbookViewId="0">
      <selection activeCell="D3" sqref="D3"/>
    </sheetView>
  </sheetViews>
  <sheetFormatPr defaultColWidth="11.43359375" defaultRowHeight="15" x14ac:dyDescent="0.2"/>
  <cols>
    <col min="2" max="2" width="19.234375" bestFit="1" customWidth="1"/>
  </cols>
  <sheetData>
    <row r="2" spans="2:6" x14ac:dyDescent="0.2">
      <c r="B2" s="2" t="s">
        <v>90</v>
      </c>
      <c r="C2" s="2">
        <v>1</v>
      </c>
      <c r="D2" s="2">
        <f>'Torta Manteca ODRA'!C30</f>
        <v>6775</v>
      </c>
      <c r="E2" s="2">
        <f t="shared" ref="E2:E7" si="0">C2*D2</f>
        <v>6775</v>
      </c>
    </row>
    <row r="3" spans="2:6" x14ac:dyDescent="0.2">
      <c r="B3" s="2" t="s">
        <v>123</v>
      </c>
      <c r="C3" s="2">
        <v>0.5</v>
      </c>
      <c r="D3" s="2">
        <f>'Torta Chocolate'!C30</f>
        <v>5885</v>
      </c>
      <c r="E3" s="2">
        <f t="shared" si="0"/>
        <v>2942.5</v>
      </c>
      <c r="F3" t="s">
        <v>124</v>
      </c>
    </row>
    <row r="4" spans="2:6" x14ac:dyDescent="0.2">
      <c r="B4" s="2" t="s">
        <v>109</v>
      </c>
      <c r="C4" s="2">
        <v>1</v>
      </c>
      <c r="D4" s="2" t="e">
        <f>Ganache!C30</f>
        <v>#REF!</v>
      </c>
      <c r="E4" s="2" t="e">
        <f t="shared" si="0"/>
        <v>#REF!</v>
      </c>
    </row>
    <row r="5" spans="2:6" x14ac:dyDescent="0.2">
      <c r="B5" s="2" t="s">
        <v>46</v>
      </c>
      <c r="C5" s="2">
        <v>1000</v>
      </c>
      <c r="D5" s="2">
        <f>'Valores y Totales'!C31</f>
        <v>6</v>
      </c>
      <c r="E5" s="2">
        <f t="shared" si="0"/>
        <v>6000</v>
      </c>
    </row>
    <row r="6" spans="2:6" x14ac:dyDescent="0.2">
      <c r="B6" s="2" t="s">
        <v>14</v>
      </c>
      <c r="C6" s="2">
        <v>1000</v>
      </c>
      <c r="D6" s="2">
        <f>'Valores y Totales'!C11</f>
        <v>5</v>
      </c>
      <c r="E6" s="2">
        <f t="shared" si="0"/>
        <v>5000</v>
      </c>
    </row>
    <row r="7" spans="2:6" x14ac:dyDescent="0.2">
      <c r="B7" s="2" t="s">
        <v>121</v>
      </c>
      <c r="C7" s="2">
        <v>100</v>
      </c>
      <c r="D7" s="2">
        <f>'Valores y Totales'!C26</f>
        <v>8</v>
      </c>
      <c r="E7" s="2">
        <f t="shared" si="0"/>
        <v>800</v>
      </c>
    </row>
    <row r="8" spans="2:6" s="88" customFormat="1" x14ac:dyDescent="0.2">
      <c r="B8" s="87"/>
      <c r="C8" s="87"/>
      <c r="D8" s="87"/>
      <c r="E8" s="87" t="e">
        <f>SUM(E2:E7)</f>
        <v>#REF!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G32"/>
  <sheetViews>
    <sheetView workbookViewId="0">
      <selection activeCell="C7" sqref="C7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6" si="0">G$1*C3</f>
        <v>250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5</v>
      </c>
      <c r="D6" s="5">
        <f>C6*'Valores y Totales'!B6</f>
        <v>1050</v>
      </c>
      <c r="E6" s="2">
        <f t="shared" si="0"/>
        <v>5</v>
      </c>
    </row>
    <row r="7" spans="2:7" x14ac:dyDescent="0.2">
      <c r="B7" s="2" t="s">
        <v>10</v>
      </c>
      <c r="C7" s="2">
        <v>250</v>
      </c>
      <c r="D7" s="5">
        <f>C7*'Valores y Totales'!C7</f>
        <v>350</v>
      </c>
      <c r="E7" s="2">
        <f t="shared" si="0"/>
        <v>250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4465</v>
      </c>
      <c r="D30" s="12">
        <f>C30*G$1</f>
        <v>4465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4465</v>
      </c>
      <c r="D32" s="16">
        <f>C32</f>
        <v>4465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G32"/>
  <sheetViews>
    <sheetView topLeftCell="A16" workbookViewId="0">
      <selection activeCell="C32" sqref="C3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170</v>
      </c>
      <c r="D7" s="5">
        <f>C7*'Valores y Totales'!C7</f>
        <v>237.99999999999997</v>
      </c>
      <c r="E7" s="2">
        <f t="shared" si="0"/>
        <v>170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220</v>
      </c>
      <c r="D13" s="5">
        <f>C13*'Valores y Totales'!C13</f>
        <v>462</v>
      </c>
      <c r="E13" s="2">
        <f t="shared" si="0"/>
        <v>220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100</v>
      </c>
      <c r="D17" s="5">
        <f>C17*'Valores y Totales'!C17</f>
        <v>250</v>
      </c>
      <c r="E17" s="2">
        <f t="shared" si="0"/>
        <v>100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360</v>
      </c>
      <c r="D21" s="5">
        <f>C21*'Valores y Totales'!C21</f>
        <v>3600</v>
      </c>
      <c r="E21" s="2">
        <f t="shared" si="0"/>
        <v>360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57</v>
      </c>
      <c r="C26" s="2">
        <v>100</v>
      </c>
      <c r="D26" s="5">
        <f>C26*'Valores y Totales'!C41</f>
        <v>120</v>
      </c>
      <c r="E26" s="2">
        <f t="shared" si="0"/>
        <v>100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36</v>
      </c>
      <c r="D29" s="11">
        <f>C29*G$1</f>
        <v>36</v>
      </c>
      <c r="F29" s="25"/>
    </row>
    <row r="30" spans="2:6" x14ac:dyDescent="0.2">
      <c r="B30" s="3" t="s">
        <v>33</v>
      </c>
      <c r="C30" s="13">
        <f>SUM(D2:D26)</f>
        <v>5300</v>
      </c>
      <c r="D30" s="12">
        <f>C30*G$1</f>
        <v>5300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147.22222222222223</v>
      </c>
      <c r="D32" s="16">
        <f>C32</f>
        <v>147.22222222222223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G32"/>
  <sheetViews>
    <sheetView workbookViewId="0">
      <selection activeCell="C1" sqref="C1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120</v>
      </c>
      <c r="D2" s="5">
        <f>C2*'Valores y Totales'!C2</f>
        <v>1320</v>
      </c>
      <c r="E2" s="2">
        <f>G$1*C2</f>
        <v>120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40</v>
      </c>
      <c r="D5" s="5">
        <f>C5*'Valores y Totales'!C5</f>
        <v>1000</v>
      </c>
      <c r="E5" s="2">
        <f t="shared" si="0"/>
        <v>40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50</v>
      </c>
      <c r="D12" s="5">
        <f>C12*'Valores y Totales'!C12</f>
        <v>500</v>
      </c>
      <c r="E12" s="2">
        <f t="shared" si="0"/>
        <v>50</v>
      </c>
    </row>
    <row r="13" spans="2:7" x14ac:dyDescent="0.2">
      <c r="B13" s="2" t="s">
        <v>16</v>
      </c>
      <c r="C13" s="2">
        <v>160</v>
      </c>
      <c r="D13" s="5">
        <f>C13*'Valores y Totales'!C13</f>
        <v>336</v>
      </c>
      <c r="E13" s="2">
        <f t="shared" si="0"/>
        <v>160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80</v>
      </c>
      <c r="D17" s="5">
        <f>C17*'Valores y Totales'!C17</f>
        <v>200</v>
      </c>
      <c r="E17" s="2">
        <f t="shared" si="0"/>
        <v>80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170</v>
      </c>
      <c r="D20" s="5">
        <f>C20*'Valores y Totales'!C20</f>
        <v>390.99999999999994</v>
      </c>
      <c r="E20" s="2">
        <f t="shared" si="0"/>
        <v>170</v>
      </c>
    </row>
    <row r="21" spans="2:6" x14ac:dyDescent="0.2">
      <c r="B21" s="2" t="s">
        <v>41</v>
      </c>
      <c r="C21" s="2">
        <v>150</v>
      </c>
      <c r="D21" s="5">
        <f>C21*'Valores y Totales'!C21</f>
        <v>1500</v>
      </c>
      <c r="E21" s="2">
        <f t="shared" si="0"/>
        <v>150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36</v>
      </c>
      <c r="D29" s="11">
        <f>C29*G$1</f>
        <v>36</v>
      </c>
      <c r="F29" s="25"/>
    </row>
    <row r="30" spans="2:6" x14ac:dyDescent="0.2">
      <c r="B30" s="3" t="s">
        <v>33</v>
      </c>
      <c r="C30" s="13">
        <f>SUM(D2:D26)</f>
        <v>5877</v>
      </c>
      <c r="D30" s="12">
        <f>C30*G$1</f>
        <v>5877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163.25</v>
      </c>
      <c r="D32" s="16">
        <f>C32</f>
        <v>163.25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D32"/>
  <sheetViews>
    <sheetView workbookViewId="0">
      <selection activeCell="B2" sqref="B2:D26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5" max="5" width="19.90625" bestFit="1" customWidth="1"/>
    <col min="6" max="6" width="20.84765625" bestFit="1" customWidth="1"/>
    <col min="7" max="7" width="10.89453125" bestFit="1" customWidth="1"/>
    <col min="8" max="8" width="22.59765625" bestFit="1" customWidth="1"/>
  </cols>
  <sheetData>
    <row r="1" spans="2:4" x14ac:dyDescent="0.2">
      <c r="B1" s="4" t="s">
        <v>0</v>
      </c>
      <c r="C1" s="4" t="s">
        <v>1</v>
      </c>
      <c r="D1" s="4" t="s">
        <v>2</v>
      </c>
    </row>
    <row r="2" spans="2:4" x14ac:dyDescent="0.2">
      <c r="B2" s="2" t="s">
        <v>5</v>
      </c>
      <c r="C2" s="1">
        <v>150</v>
      </c>
      <c r="D2" s="5">
        <f>C2*'Valores y Totales'!C2</f>
        <v>1650</v>
      </c>
    </row>
    <row r="3" spans="2:4" x14ac:dyDescent="0.2">
      <c r="B3" s="2" t="s">
        <v>6</v>
      </c>
      <c r="C3" s="1">
        <v>0</v>
      </c>
      <c r="D3" s="5">
        <f>C3*'Valores y Totales'!C3</f>
        <v>0</v>
      </c>
    </row>
    <row r="4" spans="2:4" x14ac:dyDescent="0.2">
      <c r="B4" s="2" t="s">
        <v>7</v>
      </c>
      <c r="C4" s="1">
        <v>250</v>
      </c>
      <c r="D4" s="5">
        <f>C4*'Valores y Totales'!C4</f>
        <v>375</v>
      </c>
    </row>
    <row r="5" spans="2:4" x14ac:dyDescent="0.2">
      <c r="B5" s="2" t="s">
        <v>8</v>
      </c>
      <c r="C5" s="1">
        <v>0</v>
      </c>
      <c r="D5" s="5">
        <f>C5*'Valores y Totales'!C5</f>
        <v>0</v>
      </c>
    </row>
    <row r="6" spans="2:4" x14ac:dyDescent="0.2">
      <c r="B6" s="1" t="s">
        <v>9</v>
      </c>
      <c r="C6" s="1">
        <v>2</v>
      </c>
      <c r="D6" s="5">
        <f>C6*'Valores y Totales'!B6</f>
        <v>420</v>
      </c>
    </row>
    <row r="7" spans="2:4" x14ac:dyDescent="0.2">
      <c r="B7" s="2" t="s">
        <v>10</v>
      </c>
      <c r="C7" s="2">
        <v>150</v>
      </c>
      <c r="D7" s="5">
        <f>C7*'Valores y Totales'!C7</f>
        <v>210</v>
      </c>
    </row>
    <row r="8" spans="2:4" x14ac:dyDescent="0.2">
      <c r="B8" s="2" t="s">
        <v>11</v>
      </c>
      <c r="C8" s="2">
        <v>0</v>
      </c>
      <c r="D8" s="5">
        <f>C8*'Valores y Totales'!C8</f>
        <v>0</v>
      </c>
    </row>
    <row r="9" spans="2:4" x14ac:dyDescent="0.2">
      <c r="B9" s="2" t="s">
        <v>12</v>
      </c>
      <c r="C9" s="2">
        <v>0</v>
      </c>
      <c r="D9" s="5">
        <f>C9*'Valores y Totales'!C9</f>
        <v>0</v>
      </c>
    </row>
    <row r="10" spans="2:4" x14ac:dyDescent="0.2">
      <c r="B10" s="2" t="s">
        <v>13</v>
      </c>
      <c r="C10" s="2">
        <v>0</v>
      </c>
      <c r="D10" s="5">
        <f>C10*'Valores y Totales'!C10</f>
        <v>0</v>
      </c>
    </row>
    <row r="11" spans="2:4" x14ac:dyDescent="0.2">
      <c r="B11" s="2" t="s">
        <v>14</v>
      </c>
      <c r="C11" s="2"/>
      <c r="D11" s="5">
        <f>C11*'Valores y Totales'!C11</f>
        <v>0</v>
      </c>
    </row>
    <row r="12" spans="2:4" x14ac:dyDescent="0.2">
      <c r="B12" s="2" t="s">
        <v>15</v>
      </c>
      <c r="C12" s="2"/>
      <c r="D12" s="5">
        <f>C12*'Valores y Totales'!C12</f>
        <v>0</v>
      </c>
    </row>
    <row r="13" spans="2:4" x14ac:dyDescent="0.2">
      <c r="B13" s="2" t="s">
        <v>16</v>
      </c>
      <c r="C13" s="2">
        <v>250</v>
      </c>
      <c r="D13" s="5">
        <f>C13*'Valores y Totales'!C13</f>
        <v>525</v>
      </c>
    </row>
    <row r="14" spans="2:4" x14ac:dyDescent="0.2">
      <c r="B14" s="2" t="s">
        <v>17</v>
      </c>
      <c r="C14" s="2">
        <v>1</v>
      </c>
      <c r="D14" s="5">
        <f>C14*'Valores y Totales'!C14</f>
        <v>500</v>
      </c>
    </row>
    <row r="15" spans="2:4" x14ac:dyDescent="0.2">
      <c r="B15" s="2" t="s">
        <v>18</v>
      </c>
      <c r="C15" s="2">
        <v>0</v>
      </c>
      <c r="D15" s="5">
        <f>C15*'Valores y Totales'!C15</f>
        <v>0</v>
      </c>
    </row>
    <row r="16" spans="2:4" x14ac:dyDescent="0.2">
      <c r="B16" s="2" t="s">
        <v>19</v>
      </c>
      <c r="C16" s="2">
        <v>0</v>
      </c>
      <c r="D16" s="5">
        <f>C16*'Valores y Totales'!C16</f>
        <v>0</v>
      </c>
    </row>
    <row r="17" spans="2:4" x14ac:dyDescent="0.2">
      <c r="B17" s="2" t="s">
        <v>20</v>
      </c>
      <c r="C17" s="2">
        <v>100</v>
      </c>
      <c r="D17" s="5">
        <f>C17*'Valores y Totales'!C17</f>
        <v>250</v>
      </c>
    </row>
    <row r="18" spans="2:4" x14ac:dyDescent="0.2">
      <c r="B18" s="2" t="s">
        <v>21</v>
      </c>
      <c r="C18" s="2">
        <v>0</v>
      </c>
      <c r="D18" s="5">
        <f>C18*'Valores y Totales'!C18</f>
        <v>0</v>
      </c>
    </row>
    <row r="19" spans="2:4" x14ac:dyDescent="0.2">
      <c r="B19" s="2" t="s">
        <v>22</v>
      </c>
      <c r="C19" s="2">
        <v>0</v>
      </c>
      <c r="D19" s="5">
        <f>C19*'Valores y Totales'!C19</f>
        <v>0</v>
      </c>
    </row>
    <row r="20" spans="2:4" x14ac:dyDescent="0.2">
      <c r="B20" s="2" t="s">
        <v>23</v>
      </c>
      <c r="C20" s="2">
        <v>0</v>
      </c>
      <c r="D20" s="5">
        <f>C20*'Valores y Totales'!C20</f>
        <v>0</v>
      </c>
    </row>
    <row r="21" spans="2:4" x14ac:dyDescent="0.2">
      <c r="B21" s="2" t="s">
        <v>24</v>
      </c>
      <c r="C21" s="2">
        <v>0</v>
      </c>
      <c r="D21" s="5">
        <f>C21*'Valores y Totales'!C21</f>
        <v>0</v>
      </c>
    </row>
    <row r="22" spans="2:4" x14ac:dyDescent="0.2">
      <c r="B22" s="2" t="s">
        <v>25</v>
      </c>
      <c r="C22" s="2">
        <v>0</v>
      </c>
      <c r="D22" s="5">
        <f>C22*'Valores y Totales'!C22</f>
        <v>0</v>
      </c>
    </row>
    <row r="23" spans="2:4" x14ac:dyDescent="0.2">
      <c r="B23" s="2" t="s">
        <v>26</v>
      </c>
      <c r="C23" s="2">
        <v>0</v>
      </c>
      <c r="D23" s="5">
        <f>C23*'Valores y Totales'!C23</f>
        <v>0</v>
      </c>
    </row>
    <row r="24" spans="2:4" x14ac:dyDescent="0.2">
      <c r="B24" s="2" t="s">
        <v>27</v>
      </c>
      <c r="C24" s="2">
        <v>0</v>
      </c>
      <c r="D24" s="5">
        <f>C24*'Valores y Totales'!C24</f>
        <v>0</v>
      </c>
    </row>
    <row r="25" spans="2:4" x14ac:dyDescent="0.2">
      <c r="B25" s="2" t="s">
        <v>28</v>
      </c>
      <c r="C25" s="2"/>
      <c r="D25" s="5">
        <f>C25*'Valores y Totales'!C25</f>
        <v>0</v>
      </c>
    </row>
    <row r="26" spans="2:4" x14ac:dyDescent="0.2">
      <c r="B26" s="2" t="s">
        <v>29</v>
      </c>
      <c r="C26" s="2"/>
      <c r="D26" s="5">
        <f>C26*'Valores y Totales'!C26</f>
        <v>0</v>
      </c>
    </row>
    <row r="27" spans="2:4" x14ac:dyDescent="0.2">
      <c r="C27" s="18"/>
      <c r="D27" s="21"/>
    </row>
    <row r="28" spans="2:4" ht="15.75" thickBot="1" x14ac:dyDescent="0.25">
      <c r="C28" s="19" t="s">
        <v>30</v>
      </c>
      <c r="D28" s="19" t="s">
        <v>31</v>
      </c>
    </row>
    <row r="29" spans="2:4" x14ac:dyDescent="0.2">
      <c r="B29" s="3" t="s">
        <v>32</v>
      </c>
      <c r="C29" s="10">
        <v>2</v>
      </c>
      <c r="D29" s="11"/>
    </row>
    <row r="30" spans="2:4" x14ac:dyDescent="0.2">
      <c r="B30" s="3" t="s">
        <v>33</v>
      </c>
      <c r="C30" s="13">
        <f>SUM(D2:D26)</f>
        <v>3930</v>
      </c>
      <c r="D30" s="12"/>
    </row>
    <row r="31" spans="2:4" x14ac:dyDescent="0.2">
      <c r="B31" s="3"/>
      <c r="C31" s="13"/>
      <c r="D31" s="14"/>
    </row>
    <row r="32" spans="2:4" ht="15.75" thickBot="1" x14ac:dyDescent="0.25">
      <c r="B32" s="3" t="s">
        <v>35</v>
      </c>
      <c r="C32" s="15">
        <f>C30/C29</f>
        <v>1965</v>
      </c>
      <c r="D32" s="16">
        <f>C32</f>
        <v>1965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G32"/>
  <sheetViews>
    <sheetView workbookViewId="0">
      <selection activeCell="C1" sqref="C1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 t="shared" ref="E2:E26" si="0">G$1*C2</f>
        <v>150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si="0"/>
        <v>0</v>
      </c>
    </row>
    <row r="4" spans="2:7" x14ac:dyDescent="0.2">
      <c r="B4" s="2" t="s">
        <v>7</v>
      </c>
      <c r="C4" s="1">
        <v>250</v>
      </c>
      <c r="D4" s="5">
        <f>C4*'Valores y Totales'!C4</f>
        <v>375</v>
      </c>
      <c r="E4" s="2">
        <f t="shared" si="0"/>
        <v>250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150</v>
      </c>
      <c r="D7" s="5">
        <f>C7*'Valores y Totales'!C7</f>
        <v>210</v>
      </c>
      <c r="E7" s="2">
        <f t="shared" si="0"/>
        <v>150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250</v>
      </c>
      <c r="D13" s="5">
        <f>C13*'Valores y Totales'!C13</f>
        <v>525</v>
      </c>
      <c r="E13" s="2">
        <f t="shared" si="0"/>
        <v>250</v>
      </c>
    </row>
    <row r="14" spans="2:7" x14ac:dyDescent="0.2">
      <c r="B14" s="2" t="s">
        <v>17</v>
      </c>
      <c r="C14" s="2">
        <v>2</v>
      </c>
      <c r="D14" s="5">
        <f>C14*'Valores y Totales'!C14</f>
        <v>1000</v>
      </c>
      <c r="E14" s="2">
        <f t="shared" si="0"/>
        <v>2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50</v>
      </c>
      <c r="D17" s="5">
        <f>C17*'Valores y Totales'!C17</f>
        <v>125</v>
      </c>
      <c r="E17" s="2">
        <f t="shared" si="0"/>
        <v>50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100</v>
      </c>
      <c r="D26" s="5">
        <f>C26*'Valores y Totales'!C26</f>
        <v>800</v>
      </c>
      <c r="E26" s="2">
        <f t="shared" si="0"/>
        <v>100</v>
      </c>
    </row>
    <row r="27" spans="2:5" x14ac:dyDescent="0.2">
      <c r="B27" s="2" t="s">
        <v>125</v>
      </c>
      <c r="C27" s="2">
        <v>0</v>
      </c>
      <c r="D27" s="5">
        <f>C27*'Valores y Totales'!C36</f>
        <v>0</v>
      </c>
      <c r="E27" s="2"/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32</v>
      </c>
      <c r="C29" s="10">
        <v>2</v>
      </c>
      <c r="D29" s="11">
        <f>C29*G$1</f>
        <v>2</v>
      </c>
    </row>
    <row r="30" spans="2:5" x14ac:dyDescent="0.2">
      <c r="B30" s="3" t="s">
        <v>33</v>
      </c>
      <c r="C30" s="13">
        <f>SUM(D2:D27)</f>
        <v>5105</v>
      </c>
      <c r="D30" s="12">
        <f>C30*G$1</f>
        <v>5105</v>
      </c>
    </row>
    <row r="31" spans="2:5" x14ac:dyDescent="0.2">
      <c r="B31" s="3"/>
      <c r="C31" s="13"/>
      <c r="D31" s="14"/>
    </row>
    <row r="32" spans="2:5" ht="15.75" thickBot="1" x14ac:dyDescent="0.25">
      <c r="B32" s="3" t="s">
        <v>35</v>
      </c>
      <c r="C32" s="15">
        <f>C30/C29</f>
        <v>2552.5</v>
      </c>
      <c r="D32" s="16">
        <f>C32</f>
        <v>2552.5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G32"/>
  <sheetViews>
    <sheetView workbookViewId="0">
      <selection activeCell="B11" sqref="B11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200</v>
      </c>
      <c r="D7" s="5">
        <f>C7*'Valores y Totales'!C7</f>
        <v>280</v>
      </c>
      <c r="E7" s="2">
        <f t="shared" si="0"/>
        <v>200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49</v>
      </c>
      <c r="C29" s="10">
        <v>1</v>
      </c>
      <c r="D29" s="11">
        <f>C29*G$1</f>
        <v>1</v>
      </c>
    </row>
    <row r="30" spans="2:6" x14ac:dyDescent="0.2">
      <c r="B30" s="3" t="s">
        <v>33</v>
      </c>
      <c r="C30" s="13">
        <f>SUM(D2:D20)</f>
        <v>910</v>
      </c>
      <c r="D30" s="12">
        <f>C30*G$1</f>
        <v>910</v>
      </c>
      <c r="E30" s="25"/>
    </row>
    <row r="31" spans="2:6" x14ac:dyDescent="0.2">
      <c r="B31" s="3" t="s">
        <v>34</v>
      </c>
      <c r="C31" s="13"/>
      <c r="D31" s="14">
        <f>C31</f>
        <v>0</v>
      </c>
    </row>
    <row r="32" spans="2:6" ht="15.75" thickBot="1" x14ac:dyDescent="0.25">
      <c r="B32" s="3" t="s">
        <v>35</v>
      </c>
      <c r="C32" s="15">
        <f>C30/C29</f>
        <v>910</v>
      </c>
      <c r="D32" s="16">
        <f>C32</f>
        <v>910</v>
      </c>
      <c r="F32" s="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G32"/>
  <sheetViews>
    <sheetView topLeftCell="A23" workbookViewId="0">
      <selection activeCell="D33" sqref="D33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400</v>
      </c>
      <c r="D3" s="5">
        <f>C3*'Valores y Totales'!C3</f>
        <v>440.00000000000006</v>
      </c>
      <c r="E3" s="2">
        <f t="shared" ref="E3:E15" si="0">G$1*C3</f>
        <v>400</v>
      </c>
    </row>
    <row r="4" spans="2:7" x14ac:dyDescent="0.2">
      <c r="B4" s="2" t="s">
        <v>7</v>
      </c>
      <c r="C4" s="1">
        <v>100</v>
      </c>
      <c r="D4" s="5">
        <f>C4*'Valores y Totales'!C4</f>
        <v>150</v>
      </c>
      <c r="E4" s="2">
        <f t="shared" si="0"/>
        <v>100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100</v>
      </c>
      <c r="D10" s="5">
        <f>C10*'Valores y Totales'!C10</f>
        <v>2200</v>
      </c>
      <c r="E10" s="2">
        <f t="shared" si="0"/>
        <v>100</v>
      </c>
    </row>
    <row r="11" spans="2:7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>G$1*C16</f>
        <v>10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>G$1*C17</f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>G$1*C18</f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>G$1*C19</f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>G$1*C20</f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ref="E21:E26" si="1">G$1*C21</f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1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1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1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1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1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126</v>
      </c>
      <c r="C29" s="10">
        <v>2</v>
      </c>
      <c r="D29" s="11">
        <f>C29*G$1</f>
        <v>2</v>
      </c>
    </row>
    <row r="30" spans="2:5" x14ac:dyDescent="0.2">
      <c r="B30" s="3" t="s">
        <v>33</v>
      </c>
      <c r="C30" s="13">
        <f>SUM(D2:D21)</f>
        <v>10610</v>
      </c>
      <c r="D30" s="12">
        <f>C30*G$1</f>
        <v>10610</v>
      </c>
    </row>
    <row r="31" spans="2:5" x14ac:dyDescent="0.2">
      <c r="B31" s="3" t="s">
        <v>34</v>
      </c>
      <c r="C31" s="13"/>
      <c r="D31" s="14"/>
    </row>
    <row r="32" spans="2:5" ht="15.75" thickBot="1" x14ac:dyDescent="0.25">
      <c r="B32" s="3" t="s">
        <v>35</v>
      </c>
      <c r="C32" s="15">
        <f>C30/C29</f>
        <v>5305</v>
      </c>
      <c r="D32" s="16">
        <f>C32</f>
        <v>5305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G33"/>
  <sheetViews>
    <sheetView topLeftCell="A18" workbookViewId="0">
      <selection activeCell="C29" sqref="C29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400</v>
      </c>
      <c r="D3" s="5">
        <f>C3*'Valores y Totales'!C3</f>
        <v>440.00000000000006</v>
      </c>
      <c r="E3" s="2">
        <f t="shared" ref="E3:E27" si="0">G$1*C3</f>
        <v>400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150</v>
      </c>
      <c r="D26" s="5">
        <f>C26*'Valores y Totales'!C26</f>
        <v>1200</v>
      </c>
      <c r="E26" s="2">
        <f t="shared" si="0"/>
        <v>150</v>
      </c>
    </row>
    <row r="27" spans="2:6" x14ac:dyDescent="0.2">
      <c r="B27" s="2" t="s">
        <v>127</v>
      </c>
      <c r="C27" s="2">
        <v>200</v>
      </c>
      <c r="D27" s="5">
        <f>C27*'Valores y Totales'!C42</f>
        <v>2500</v>
      </c>
      <c r="E27" s="2">
        <f t="shared" si="0"/>
        <v>200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80</v>
      </c>
      <c r="D29" s="11">
        <f>C29*G$1</f>
        <v>80</v>
      </c>
      <c r="F29" s="25"/>
    </row>
    <row r="30" spans="2:6" x14ac:dyDescent="0.2">
      <c r="B30" s="3" t="s">
        <v>33</v>
      </c>
      <c r="C30" s="13">
        <f>SUM(D2:D27)</f>
        <v>7380</v>
      </c>
      <c r="D30" s="12">
        <f>C30*G$1</f>
        <v>7380</v>
      </c>
    </row>
    <row r="31" spans="2:6" x14ac:dyDescent="0.2">
      <c r="B31" s="3" t="s">
        <v>34</v>
      </c>
      <c r="C31" s="13">
        <f>C30/C29*12</f>
        <v>1107</v>
      </c>
      <c r="D31" s="14">
        <f>C31</f>
        <v>1107</v>
      </c>
    </row>
    <row r="32" spans="2:6" ht="15.75" thickBot="1" x14ac:dyDescent="0.25">
      <c r="B32" s="3" t="s">
        <v>35</v>
      </c>
      <c r="C32" s="15">
        <f>C30/C29</f>
        <v>92.25</v>
      </c>
      <c r="D32" s="16">
        <f>C32</f>
        <v>92.25</v>
      </c>
    </row>
    <row r="33" spans="2:2" x14ac:dyDescent="0.2">
      <c r="B33" t="s">
        <v>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I32"/>
  <sheetViews>
    <sheetView topLeftCell="A22" workbookViewId="0">
      <selection activeCell="C29" sqref="C29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9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9" x14ac:dyDescent="0.2">
      <c r="B2" s="2" t="s">
        <v>57</v>
      </c>
      <c r="C2" s="1">
        <v>100</v>
      </c>
      <c r="D2" s="5">
        <f>C2*'Valores y Totales'!C41</f>
        <v>120</v>
      </c>
      <c r="E2" s="2">
        <f>G$1*C2</f>
        <v>100</v>
      </c>
    </row>
    <row r="3" spans="2:9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  <c r="H3" s="9" t="s">
        <v>30</v>
      </c>
      <c r="I3" s="9" t="s">
        <v>31</v>
      </c>
    </row>
    <row r="4" spans="2:9" x14ac:dyDescent="0.2">
      <c r="B4" s="2" t="s">
        <v>7</v>
      </c>
      <c r="C4" s="1">
        <v>200</v>
      </c>
      <c r="D4" s="5">
        <f>C4*'Valores y Totales'!C4</f>
        <v>300</v>
      </c>
      <c r="E4" s="2">
        <f t="shared" si="0"/>
        <v>200</v>
      </c>
      <c r="G4" s="3" t="s">
        <v>48</v>
      </c>
      <c r="H4" s="10">
        <v>1</v>
      </c>
      <c r="I4" s="11">
        <f>H4*G$1</f>
        <v>1</v>
      </c>
    </row>
    <row r="5" spans="2:9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6002</v>
      </c>
      <c r="I5" s="24">
        <f>H5*G$1</f>
        <v>6002</v>
      </c>
    </row>
    <row r="6" spans="2:9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  <c r="G6" s="3" t="s">
        <v>34</v>
      </c>
      <c r="H6" s="13"/>
      <c r="I6" s="14">
        <f>H6</f>
        <v>0</v>
      </c>
    </row>
    <row r="7" spans="2:9" ht="15.75" thickBot="1" x14ac:dyDescent="0.25">
      <c r="B7" s="2" t="s">
        <v>10</v>
      </c>
      <c r="C7" s="2">
        <v>200</v>
      </c>
      <c r="D7" s="5">
        <f>C7*'Valores y Totales'!C7</f>
        <v>280</v>
      </c>
      <c r="E7" s="2">
        <f t="shared" si="0"/>
        <v>200</v>
      </c>
      <c r="G7" s="3" t="s">
        <v>35</v>
      </c>
      <c r="H7" s="15">
        <f>H5/H4</f>
        <v>6002</v>
      </c>
      <c r="I7" s="16">
        <f>H7</f>
        <v>6002</v>
      </c>
    </row>
    <row r="8" spans="2:9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9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9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9" x14ac:dyDescent="0.2">
      <c r="B11" s="2" t="s">
        <v>14</v>
      </c>
      <c r="C11" s="2"/>
      <c r="D11" s="5">
        <f>C11*'Valores y Totales'!C11</f>
        <v>0</v>
      </c>
      <c r="E11" s="2">
        <f t="shared" si="0"/>
        <v>0</v>
      </c>
    </row>
    <row r="12" spans="2:9" x14ac:dyDescent="0.2">
      <c r="B12" s="2" t="s">
        <v>15</v>
      </c>
      <c r="C12" s="2"/>
      <c r="D12" s="5">
        <f>C12*'Valores y Totales'!C12</f>
        <v>0</v>
      </c>
      <c r="E12" s="2">
        <f t="shared" si="0"/>
        <v>0</v>
      </c>
    </row>
    <row r="13" spans="2:9" x14ac:dyDescent="0.2">
      <c r="B13" s="2" t="s">
        <v>16</v>
      </c>
      <c r="C13" s="2">
        <v>300</v>
      </c>
      <c r="D13" s="5">
        <f>C13*'Valores y Totales'!C13</f>
        <v>630</v>
      </c>
      <c r="E13" s="2">
        <f t="shared" si="0"/>
        <v>300</v>
      </c>
    </row>
    <row r="14" spans="2:9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9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9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100</v>
      </c>
      <c r="D17" s="5">
        <f>C17*'Valores y Totales'!C17</f>
        <v>250</v>
      </c>
      <c r="E17" s="2">
        <f t="shared" si="0"/>
        <v>100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1</v>
      </c>
      <c r="D19" s="5">
        <f>C19*'Valores y Totales'!C19</f>
        <v>500</v>
      </c>
      <c r="E19" s="2">
        <f t="shared" si="0"/>
        <v>1</v>
      </c>
      <c r="F19" t="s">
        <v>128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>G$1*C25</f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>G$1*C26</f>
        <v>0</v>
      </c>
    </row>
    <row r="27" spans="2:6" x14ac:dyDescent="0.2">
      <c r="C27" s="18"/>
      <c r="D27" s="21"/>
    </row>
    <row r="28" spans="2:6" ht="15.75" thickBot="1" x14ac:dyDescent="0.25">
      <c r="C28" s="19" t="s">
        <v>30</v>
      </c>
      <c r="D28" s="19" t="s">
        <v>31</v>
      </c>
    </row>
    <row r="29" spans="2:6" x14ac:dyDescent="0.2">
      <c r="B29" s="3" t="s">
        <v>32</v>
      </c>
      <c r="C29" s="10">
        <v>2</v>
      </c>
      <c r="D29" s="11">
        <f>C29*G$1</f>
        <v>2</v>
      </c>
      <c r="E29" t="s">
        <v>56</v>
      </c>
    </row>
    <row r="30" spans="2:6" x14ac:dyDescent="0.2">
      <c r="B30" s="3" t="s">
        <v>33</v>
      </c>
      <c r="C30" s="13">
        <f>SUM(D2:D27)</f>
        <v>3000</v>
      </c>
      <c r="D30" s="12">
        <f>C30*G$1</f>
        <v>3000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1500</v>
      </c>
      <c r="D32" s="16">
        <f>C32</f>
        <v>1500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G42"/>
  <sheetViews>
    <sheetView workbookViewId="0">
      <pane xSplit="2" ySplit="1" topLeftCell="C2" activePane="bottomRight" state="frozen"/>
      <selection pane="bottomLeft" activeCell="A2" sqref="A2"/>
      <selection pane="topRight" activeCell="C1" sqref="C1"/>
      <selection pane="bottomRight" activeCell="C1" sqref="C1"/>
    </sheetView>
  </sheetViews>
  <sheetFormatPr defaultColWidth="11.43359375" defaultRowHeight="15" x14ac:dyDescent="0.2"/>
  <cols>
    <col min="1" max="1" width="3.09375" customWidth="1"/>
    <col min="2" max="2" width="28.25" bestFit="1" customWidth="1"/>
    <col min="3" max="3" width="18.83203125" style="28" customWidth="1"/>
    <col min="4" max="4" width="24.88671875" style="28" customWidth="1"/>
    <col min="5" max="5" width="12.64453125" customWidth="1"/>
    <col min="6" max="6" width="15.73828125" style="28" customWidth="1"/>
    <col min="7" max="7" width="21.65625" style="28" customWidth="1"/>
  </cols>
  <sheetData>
    <row r="1" spans="2:7" x14ac:dyDescent="0.2">
      <c r="B1" s="30" t="s">
        <v>59</v>
      </c>
      <c r="C1" s="47" t="s">
        <v>35</v>
      </c>
      <c r="D1" s="48" t="s">
        <v>97</v>
      </c>
      <c r="E1" s="70" t="s">
        <v>62</v>
      </c>
      <c r="F1" s="71" t="s">
        <v>33</v>
      </c>
      <c r="G1" s="72" t="s">
        <v>63</v>
      </c>
    </row>
    <row r="2" spans="2:7" x14ac:dyDescent="0.2">
      <c r="B2" s="42" t="s">
        <v>98</v>
      </c>
      <c r="C2" s="61">
        <f t="shared" ref="C2:C41" si="0">F2/E2</f>
        <v>176.0625</v>
      </c>
      <c r="D2" s="62">
        <f t="shared" ref="D2:D41" si="1">G2/E2</f>
        <v>528.1875</v>
      </c>
      <c r="E2" s="60">
        <f>'Alfajores de Chocolate'!C29</f>
        <v>80</v>
      </c>
      <c r="F2" s="61">
        <f>'Alfajores de Chocolate'!C30</f>
        <v>14085</v>
      </c>
      <c r="G2" s="61">
        <f t="shared" ref="G2:G41" si="2">F2*3</f>
        <v>42255</v>
      </c>
    </row>
    <row r="3" spans="2:7" x14ac:dyDescent="0.2">
      <c r="B3" s="42" t="s">
        <v>99</v>
      </c>
      <c r="C3" s="61">
        <f t="shared" si="0"/>
        <v>118.58333333333333</v>
      </c>
      <c r="D3" s="62">
        <f t="shared" si="1"/>
        <v>355.75</v>
      </c>
      <c r="E3" s="60">
        <f>'Alfajores de Maicena'!C29</f>
        <v>80</v>
      </c>
      <c r="F3" s="61">
        <f>'Alfajores de Maicena'!C30</f>
        <v>9486.6666666666661</v>
      </c>
      <c r="G3" s="61">
        <f t="shared" si="2"/>
        <v>28460</v>
      </c>
    </row>
    <row r="4" spans="2:7" x14ac:dyDescent="0.2">
      <c r="B4" s="42" t="s">
        <v>66</v>
      </c>
      <c r="C4" s="61">
        <f t="shared" si="0"/>
        <v>95.875</v>
      </c>
      <c r="D4" s="62">
        <f t="shared" si="1"/>
        <v>287.625</v>
      </c>
      <c r="E4" s="60">
        <f>MiniRogel!C29</f>
        <v>80</v>
      </c>
      <c r="F4" s="61">
        <f>MiniRogel!C30</f>
        <v>7670</v>
      </c>
      <c r="G4" s="61">
        <f t="shared" si="2"/>
        <v>23010</v>
      </c>
    </row>
    <row r="5" spans="2:7" x14ac:dyDescent="0.2">
      <c r="B5" s="55" t="s">
        <v>129</v>
      </c>
      <c r="C5" s="35">
        <f t="shared" si="0"/>
        <v>8846.5</v>
      </c>
      <c r="D5" s="46">
        <f t="shared" si="1"/>
        <v>26539.5</v>
      </c>
      <c r="E5" s="34">
        <f>'Biscuit Chocolate'!C29</f>
        <v>1</v>
      </c>
      <c r="F5" s="35">
        <f>'Biscuit Chocolate'!C30</f>
        <v>8846.5</v>
      </c>
      <c r="G5" s="35">
        <f t="shared" si="2"/>
        <v>26539.5</v>
      </c>
    </row>
    <row r="6" spans="2:7" x14ac:dyDescent="0.2">
      <c r="B6" s="55" t="s">
        <v>101</v>
      </c>
      <c r="C6" s="29">
        <f t="shared" si="0"/>
        <v>256.46666666666664</v>
      </c>
      <c r="D6" s="43">
        <f t="shared" si="1"/>
        <v>769.4</v>
      </c>
      <c r="E6" s="2">
        <f>Brownies!C29</f>
        <v>60</v>
      </c>
      <c r="F6" s="29">
        <f>Brownies!C30</f>
        <v>15388</v>
      </c>
      <c r="G6" s="29">
        <f>F6*3</f>
        <v>46164</v>
      </c>
    </row>
    <row r="7" spans="2:7" x14ac:dyDescent="0.2">
      <c r="B7" s="37" t="s">
        <v>130</v>
      </c>
      <c r="C7" s="102">
        <f t="shared" si="0"/>
        <v>2552.5</v>
      </c>
      <c r="D7" s="103">
        <f t="shared" si="1"/>
        <v>7657.5</v>
      </c>
      <c r="E7" s="40">
        <v>2</v>
      </c>
      <c r="F7" s="102">
        <f>'Budin Cítrico'!C30</f>
        <v>5105</v>
      </c>
      <c r="G7" s="102">
        <f t="shared" si="2"/>
        <v>15315</v>
      </c>
    </row>
    <row r="8" spans="2:7" x14ac:dyDescent="0.2">
      <c r="B8" s="37" t="s">
        <v>102</v>
      </c>
      <c r="C8" s="38">
        <f t="shared" si="0"/>
        <v>2250</v>
      </c>
      <c r="D8" s="45">
        <f t="shared" si="1"/>
        <v>6750</v>
      </c>
      <c r="E8" s="40">
        <f>'Budin de Banana'!C29</f>
        <v>2</v>
      </c>
      <c r="F8" s="38">
        <f>'Budin de Banana'!C30</f>
        <v>4500</v>
      </c>
      <c r="G8" s="38">
        <f t="shared" si="2"/>
        <v>13500</v>
      </c>
    </row>
    <row r="9" spans="2:7" x14ac:dyDescent="0.2">
      <c r="B9" s="37" t="s">
        <v>131</v>
      </c>
      <c r="C9" s="38">
        <f t="shared" si="0"/>
        <v>1975</v>
      </c>
      <c r="D9" s="45">
        <f t="shared" si="1"/>
        <v>5925</v>
      </c>
      <c r="E9" s="40">
        <v>2</v>
      </c>
      <c r="F9" s="38">
        <f>'Budin de Peras'!C30</f>
        <v>3950</v>
      </c>
      <c r="G9" s="38">
        <f t="shared" si="2"/>
        <v>11850</v>
      </c>
    </row>
    <row r="10" spans="2:7" x14ac:dyDescent="0.2">
      <c r="B10" s="42" t="s">
        <v>132</v>
      </c>
      <c r="C10" s="35">
        <f t="shared" si="0"/>
        <v>3730</v>
      </c>
      <c r="D10" s="46">
        <f t="shared" si="1"/>
        <v>11190</v>
      </c>
      <c r="E10" s="2">
        <v>2</v>
      </c>
      <c r="F10" s="29">
        <f>'Bundt Chocolate'!C30</f>
        <v>7460</v>
      </c>
      <c r="G10" s="35">
        <f t="shared" si="2"/>
        <v>22380</v>
      </c>
    </row>
    <row r="11" spans="2:7" x14ac:dyDescent="0.2">
      <c r="B11" s="42" t="s">
        <v>133</v>
      </c>
      <c r="C11" s="104">
        <f t="shared" si="0"/>
        <v>3930</v>
      </c>
      <c r="D11" s="101">
        <f t="shared" si="1"/>
        <v>11790</v>
      </c>
      <c r="E11" s="2">
        <v>1</v>
      </c>
      <c r="F11" s="105">
        <f>'Bundt Naranja'!C30</f>
        <v>3930</v>
      </c>
      <c r="G11" s="104">
        <f t="shared" si="2"/>
        <v>11790</v>
      </c>
    </row>
    <row r="12" spans="2:7" x14ac:dyDescent="0.2">
      <c r="B12" s="63" t="s">
        <v>134</v>
      </c>
      <c r="C12" s="64">
        <f t="shared" si="0"/>
        <v>4400</v>
      </c>
      <c r="D12" s="65">
        <f t="shared" si="1"/>
        <v>13200</v>
      </c>
      <c r="E12" s="22">
        <v>1</v>
      </c>
      <c r="F12" s="64">
        <f>'Butter Cream Chocolate'!C30</f>
        <v>4400</v>
      </c>
      <c r="G12" s="64">
        <f t="shared" si="2"/>
        <v>13200</v>
      </c>
    </row>
    <row r="13" spans="2:7" x14ac:dyDescent="0.2">
      <c r="B13" s="63" t="s">
        <v>135</v>
      </c>
      <c r="C13" s="64">
        <f t="shared" si="0"/>
        <v>3312.5</v>
      </c>
      <c r="D13" s="65">
        <f t="shared" si="1"/>
        <v>9937.5</v>
      </c>
      <c r="E13" s="22">
        <v>1</v>
      </c>
      <c r="F13" s="64">
        <f>'Butter Cream Vainilla'!C30</f>
        <v>3312.5</v>
      </c>
      <c r="G13" s="64">
        <f t="shared" si="2"/>
        <v>9937.5</v>
      </c>
    </row>
    <row r="14" spans="2:7" x14ac:dyDescent="0.2">
      <c r="B14" s="41" t="s">
        <v>75</v>
      </c>
      <c r="C14" s="29">
        <f t="shared" si="0"/>
        <v>180.90277777777777</v>
      </c>
      <c r="D14" s="43">
        <f t="shared" si="1"/>
        <v>542.70833333333337</v>
      </c>
      <c r="E14" s="2">
        <f>Cakepops!D30</f>
        <v>36</v>
      </c>
      <c r="F14" s="29">
        <f>Cakepops!C31</f>
        <v>6512.5</v>
      </c>
      <c r="G14" s="29">
        <f t="shared" si="2"/>
        <v>19537.5</v>
      </c>
    </row>
    <row r="15" spans="2:7" x14ac:dyDescent="0.2">
      <c r="B15" s="41" t="s">
        <v>136</v>
      </c>
      <c r="C15" s="29">
        <f t="shared" si="0"/>
        <v>98.333333333333329</v>
      </c>
      <c r="D15" s="43">
        <f t="shared" si="1"/>
        <v>295</v>
      </c>
      <c r="E15" s="2">
        <f>'Cookies Chocochips'!C28</f>
        <v>66</v>
      </c>
      <c r="F15" s="29">
        <f>'Cookies Chocochips'!C29</f>
        <v>6490</v>
      </c>
      <c r="G15" s="29">
        <f t="shared" si="2"/>
        <v>19470</v>
      </c>
    </row>
    <row r="16" spans="2:7" x14ac:dyDescent="0.2">
      <c r="B16" s="41" t="s">
        <v>76</v>
      </c>
      <c r="C16" s="29">
        <f t="shared" si="0"/>
        <v>77.581499999999991</v>
      </c>
      <c r="D16" s="43">
        <f t="shared" si="1"/>
        <v>232.74449999999996</v>
      </c>
      <c r="E16" s="2">
        <f>'Cookies Pasas y Nueces'!C29</f>
        <v>100</v>
      </c>
      <c r="F16" s="29">
        <f>'Cookies Pasas y Nueces'!C30</f>
        <v>7758.15</v>
      </c>
      <c r="G16" s="29">
        <f t="shared" si="2"/>
        <v>23274.449999999997</v>
      </c>
    </row>
    <row r="17" spans="2:7" x14ac:dyDescent="0.2">
      <c r="B17" s="41" t="s">
        <v>137</v>
      </c>
      <c r="C17" s="29">
        <f t="shared" si="0"/>
        <v>396.803</v>
      </c>
      <c r="D17" s="43">
        <f t="shared" si="1"/>
        <v>1190.4090000000001</v>
      </c>
      <c r="E17" s="2">
        <f>'Cremoso de Fruta'!H4</f>
        <v>20</v>
      </c>
      <c r="F17" s="29">
        <f>'Cremoso de Fruta'!H5</f>
        <v>7936.06</v>
      </c>
      <c r="G17" s="29">
        <f t="shared" si="2"/>
        <v>23808.18</v>
      </c>
    </row>
    <row r="18" spans="2:7" x14ac:dyDescent="0.2">
      <c r="B18" s="41" t="s">
        <v>138</v>
      </c>
      <c r="C18" s="29">
        <f t="shared" si="0"/>
        <v>350.25</v>
      </c>
      <c r="D18" s="43">
        <f t="shared" si="1"/>
        <v>1050.75</v>
      </c>
      <c r="E18" s="2">
        <f>'Cupcakes Chocolate'!C37</f>
        <v>12</v>
      </c>
      <c r="F18" s="29">
        <f>'Cupcakes Chocolate'!C38</f>
        <v>4203</v>
      </c>
      <c r="G18" s="29">
        <f t="shared" si="2"/>
        <v>12609</v>
      </c>
    </row>
    <row r="19" spans="2:7" x14ac:dyDescent="0.2">
      <c r="B19" s="41" t="s">
        <v>139</v>
      </c>
      <c r="C19" s="29">
        <f t="shared" si="0"/>
        <v>472.33333333333331</v>
      </c>
      <c r="D19" s="43">
        <f t="shared" si="1"/>
        <v>1417</v>
      </c>
      <c r="E19" s="2">
        <f>'Cupcakes Limón'!C37</f>
        <v>12</v>
      </c>
      <c r="F19" s="29">
        <f>'Cupcakes Limón'!C38</f>
        <v>5668</v>
      </c>
      <c r="G19" s="29">
        <f t="shared" si="2"/>
        <v>17004</v>
      </c>
    </row>
    <row r="20" spans="2:7" x14ac:dyDescent="0.2">
      <c r="B20" s="66" t="s">
        <v>105</v>
      </c>
      <c r="C20" s="68">
        <f t="shared" si="0"/>
        <v>163.25</v>
      </c>
      <c r="D20" s="69">
        <f t="shared" si="1"/>
        <v>489.75</v>
      </c>
      <c r="E20" s="67">
        <v>36</v>
      </c>
      <c r="F20" s="68">
        <f>'Donas de Chocolate'!C30</f>
        <v>5877</v>
      </c>
      <c r="G20" s="68">
        <f t="shared" si="2"/>
        <v>17631</v>
      </c>
    </row>
    <row r="21" spans="2:7" x14ac:dyDescent="0.2">
      <c r="B21" s="41" t="s">
        <v>140</v>
      </c>
      <c r="C21" s="29">
        <f t="shared" si="0"/>
        <v>26124</v>
      </c>
      <c r="D21" s="43">
        <f t="shared" si="1"/>
        <v>78372</v>
      </c>
      <c r="E21" s="2">
        <f>'Duo Chocolate'!H4</f>
        <v>1</v>
      </c>
      <c r="F21" s="29">
        <f>'Duo Chocolate'!H5</f>
        <v>26124</v>
      </c>
      <c r="G21" s="29">
        <f t="shared" si="2"/>
        <v>78372</v>
      </c>
    </row>
    <row r="22" spans="2:7" x14ac:dyDescent="0.2">
      <c r="B22" s="66" t="s">
        <v>108</v>
      </c>
      <c r="C22" s="68">
        <f t="shared" si="0"/>
        <v>161.85</v>
      </c>
      <c r="D22" s="69">
        <f t="shared" si="1"/>
        <v>485.55</v>
      </c>
      <c r="E22" s="67">
        <f>'Espumita de Limon'!C29</f>
        <v>30</v>
      </c>
      <c r="F22" s="68">
        <f>'Espumita de Limon'!C30</f>
        <v>4855.5</v>
      </c>
      <c r="G22" s="68">
        <f t="shared" si="2"/>
        <v>14566.5</v>
      </c>
    </row>
    <row r="23" spans="2:7" x14ac:dyDescent="0.2">
      <c r="B23" s="41" t="s">
        <v>141</v>
      </c>
      <c r="C23" s="29">
        <f t="shared" si="0"/>
        <v>7500</v>
      </c>
      <c r="D23" s="43">
        <f t="shared" si="1"/>
        <v>22500</v>
      </c>
      <c r="E23" s="2">
        <f>'Frosting Bariloche'!C29</f>
        <v>1</v>
      </c>
      <c r="F23" s="29">
        <f>'Frosting Bariloche'!C30</f>
        <v>7500</v>
      </c>
      <c r="G23" s="29">
        <f t="shared" si="2"/>
        <v>22500</v>
      </c>
    </row>
    <row r="24" spans="2:7" x14ac:dyDescent="0.2">
      <c r="B24" s="41" t="s">
        <v>109</v>
      </c>
      <c r="C24" s="29" t="e">
        <f t="shared" si="0"/>
        <v>#REF!</v>
      </c>
      <c r="D24" s="43" t="e">
        <f t="shared" si="1"/>
        <v>#REF!</v>
      </c>
      <c r="E24" s="2">
        <f>Ganache!C29</f>
        <v>1</v>
      </c>
      <c r="F24" s="29" t="e">
        <f>Ganache!C30</f>
        <v>#REF!</v>
      </c>
      <c r="G24" s="29" t="e">
        <f t="shared" si="2"/>
        <v>#REF!</v>
      </c>
    </row>
    <row r="25" spans="2:7" x14ac:dyDescent="0.2">
      <c r="B25" s="42" t="s">
        <v>142</v>
      </c>
      <c r="C25" s="35">
        <f t="shared" si="0"/>
        <v>11270</v>
      </c>
      <c r="D25" s="46">
        <f t="shared" si="1"/>
        <v>33810</v>
      </c>
      <c r="E25" s="34">
        <f>'Ganache Isabel Vermal'!C29</f>
        <v>1</v>
      </c>
      <c r="F25" s="35">
        <f>'Ganache Isabel Vermal'!C30</f>
        <v>11270</v>
      </c>
      <c r="G25" s="35">
        <f t="shared" si="2"/>
        <v>33810</v>
      </c>
    </row>
    <row r="26" spans="2:7" x14ac:dyDescent="0.2">
      <c r="B26" s="42" t="s">
        <v>110</v>
      </c>
      <c r="C26" s="35">
        <f t="shared" si="0"/>
        <v>2150</v>
      </c>
      <c r="D26" s="46">
        <f t="shared" si="1"/>
        <v>6450</v>
      </c>
      <c r="E26" s="2">
        <v>1</v>
      </c>
      <c r="F26" s="29">
        <f>Genoise!C30</f>
        <v>2150</v>
      </c>
      <c r="G26" s="35">
        <f t="shared" si="2"/>
        <v>6450</v>
      </c>
    </row>
    <row r="27" spans="2:7" x14ac:dyDescent="0.2">
      <c r="B27" s="41" t="s">
        <v>143</v>
      </c>
      <c r="C27" s="29">
        <f t="shared" si="0"/>
        <v>50.29</v>
      </c>
      <c r="D27" s="43">
        <f t="shared" si="1"/>
        <v>150.87</v>
      </c>
      <c r="E27" s="2">
        <f>'Masitas de Manteca (choc)'!C29</f>
        <v>50</v>
      </c>
      <c r="F27" s="29">
        <f>'Masitas de Manteca (choc)'!C30</f>
        <v>2514.5</v>
      </c>
      <c r="G27" s="29">
        <f t="shared" si="2"/>
        <v>7543.5</v>
      </c>
    </row>
    <row r="28" spans="2:7" x14ac:dyDescent="0.2">
      <c r="B28" s="41" t="s">
        <v>80</v>
      </c>
      <c r="C28" s="29">
        <f t="shared" ref="C28" si="3">F28/E28</f>
        <v>95.45</v>
      </c>
      <c r="D28" s="43">
        <f t="shared" ref="D28" si="4">G28/E28</f>
        <v>286.35000000000002</v>
      </c>
      <c r="E28" s="2">
        <f>'Masitas de Manteca'!C29</f>
        <v>40</v>
      </c>
      <c r="F28" s="29">
        <f>'Masitas de Manteca'!C30</f>
        <v>3818</v>
      </c>
      <c r="G28" s="29">
        <f t="shared" si="2"/>
        <v>11454</v>
      </c>
    </row>
    <row r="29" spans="2:7" x14ac:dyDescent="0.2">
      <c r="B29" s="41" t="s">
        <v>100</v>
      </c>
      <c r="C29" s="104">
        <f>'Alfajores de Nuez'!C32</f>
        <v>209.08333333333334</v>
      </c>
      <c r="D29" s="101">
        <f>G29/E29</f>
        <v>627.25</v>
      </c>
      <c r="E29" s="2">
        <f>'Alfajores de Nuez'!C29</f>
        <v>60</v>
      </c>
      <c r="F29" s="29">
        <f>'Alfajores de Nuez'!C30</f>
        <v>12545</v>
      </c>
      <c r="G29" s="29">
        <f>F29*3</f>
        <v>37635</v>
      </c>
    </row>
    <row r="30" spans="2:7" x14ac:dyDescent="0.2">
      <c r="B30" s="42" t="s">
        <v>144</v>
      </c>
      <c r="C30" s="104">
        <f t="shared" si="0"/>
        <v>21328.799999999999</v>
      </c>
      <c r="D30" s="101">
        <f t="shared" si="1"/>
        <v>63986.399999999994</v>
      </c>
      <c r="E30" s="2">
        <v>1</v>
      </c>
      <c r="F30" s="105">
        <f>2*F16+F13+'Valores y Totales'!B11/2</f>
        <v>21328.799999999999</v>
      </c>
      <c r="G30" s="104">
        <f t="shared" si="2"/>
        <v>63986.399999999994</v>
      </c>
    </row>
    <row r="31" spans="2:7" x14ac:dyDescent="0.2">
      <c r="B31" s="42" t="s">
        <v>145</v>
      </c>
      <c r="C31" s="104">
        <f t="shared" si="0"/>
        <v>18926.3</v>
      </c>
      <c r="D31" s="101">
        <f t="shared" si="1"/>
        <v>56778.899999999994</v>
      </c>
      <c r="E31" s="2">
        <v>1</v>
      </c>
      <c r="F31" s="105">
        <f>2*F16+'Valores y Totales'!B11/2+'Merengue Italiano'!C30</f>
        <v>18926.3</v>
      </c>
      <c r="G31" s="104">
        <f t="shared" si="2"/>
        <v>56778.899999999994</v>
      </c>
    </row>
    <row r="32" spans="2:7" x14ac:dyDescent="0.2">
      <c r="B32" s="31" t="s">
        <v>146</v>
      </c>
      <c r="C32" s="32">
        <f t="shared" si="0"/>
        <v>3335</v>
      </c>
      <c r="D32" s="44">
        <f t="shared" si="1"/>
        <v>10005</v>
      </c>
      <c r="E32" s="39">
        <v>1</v>
      </c>
      <c r="F32" s="32">
        <f>'Receta Torta Espumita'!C30</f>
        <v>3335</v>
      </c>
      <c r="G32" s="32">
        <f t="shared" si="2"/>
        <v>10005</v>
      </c>
    </row>
    <row r="33" spans="2:7" x14ac:dyDescent="0.2">
      <c r="B33" s="41" t="s">
        <v>147</v>
      </c>
      <c r="C33" s="29">
        <f t="shared" si="0"/>
        <v>249.6</v>
      </c>
      <c r="D33" s="43">
        <f t="shared" si="1"/>
        <v>748.8</v>
      </c>
      <c r="E33" s="2">
        <f>TartitasChocolate!C29</f>
        <v>50</v>
      </c>
      <c r="F33" s="29">
        <f>TartitasChocolate!C30</f>
        <v>12480</v>
      </c>
      <c r="G33" s="29">
        <f t="shared" si="2"/>
        <v>37440</v>
      </c>
    </row>
    <row r="34" spans="2:7" x14ac:dyDescent="0.2">
      <c r="B34" s="42" t="s">
        <v>148</v>
      </c>
      <c r="C34" s="104">
        <f t="shared" si="0"/>
        <v>15318</v>
      </c>
      <c r="D34" s="101">
        <f t="shared" si="1"/>
        <v>45954</v>
      </c>
      <c r="E34" s="2">
        <v>1</v>
      </c>
      <c r="F34" s="105">
        <f>F26+F22+'Valores y Totales'!B11+Precios!F13</f>
        <v>15318</v>
      </c>
      <c r="G34" s="104">
        <f t="shared" si="2"/>
        <v>45954</v>
      </c>
    </row>
    <row r="35" spans="2:7" x14ac:dyDescent="0.2">
      <c r="B35" s="56" t="s">
        <v>149</v>
      </c>
      <c r="C35" s="58">
        <f t="shared" si="0"/>
        <v>7210</v>
      </c>
      <c r="D35" s="59">
        <f t="shared" si="1"/>
        <v>21630</v>
      </c>
      <c r="E35" s="57">
        <f>'Torta Choc Isabel Vermal'!C29</f>
        <v>1</v>
      </c>
      <c r="F35" s="58">
        <f>'Torta Choc Isabel Vermal'!C30</f>
        <v>7210</v>
      </c>
      <c r="G35" s="58">
        <f t="shared" si="2"/>
        <v>21630</v>
      </c>
    </row>
    <row r="36" spans="2:7" x14ac:dyDescent="0.2">
      <c r="B36" s="50" t="s">
        <v>123</v>
      </c>
      <c r="C36" s="52">
        <f t="shared" si="0"/>
        <v>5885</v>
      </c>
      <c r="D36" s="54">
        <f t="shared" si="1"/>
        <v>17655</v>
      </c>
      <c r="E36" s="51">
        <f>'Torta Chocolate'!C29</f>
        <v>1</v>
      </c>
      <c r="F36" s="52">
        <f>'Torta Chocolate'!C30</f>
        <v>5885</v>
      </c>
      <c r="G36" s="52">
        <f t="shared" si="2"/>
        <v>17655</v>
      </c>
    </row>
    <row r="37" spans="2:7" x14ac:dyDescent="0.2">
      <c r="B37" s="42" t="s">
        <v>150</v>
      </c>
      <c r="C37" s="104" t="e">
        <f t="shared" si="0"/>
        <v>#REF!</v>
      </c>
      <c r="D37" s="101" t="e">
        <f t="shared" si="1"/>
        <v>#REF!</v>
      </c>
      <c r="E37" s="2">
        <v>1</v>
      </c>
      <c r="F37" s="105" t="e">
        <f>F26+F32+F24+'Valores y Totales'!B31+'Valores y Totales'!B11+'Valores y Totales'!#REF!/10</f>
        <v>#REF!</v>
      </c>
      <c r="G37" s="104" t="e">
        <f t="shared" si="2"/>
        <v>#REF!</v>
      </c>
    </row>
    <row r="38" spans="2:7" x14ac:dyDescent="0.2">
      <c r="B38" s="37" t="s">
        <v>81</v>
      </c>
      <c r="C38" s="38">
        <f>F38/E38</f>
        <v>3205.3777777777782</v>
      </c>
      <c r="D38" s="45">
        <f>G38/E38</f>
        <v>9616.133333333335</v>
      </c>
      <c r="E38" s="40">
        <v>3</v>
      </c>
      <c r="F38" s="38">
        <f>'Torta Galesa'!C30</f>
        <v>9616.133333333335</v>
      </c>
      <c r="G38" s="38">
        <f t="shared" si="2"/>
        <v>28848.400000000005</v>
      </c>
    </row>
    <row r="39" spans="2:7" x14ac:dyDescent="0.2">
      <c r="B39" s="42" t="s">
        <v>151</v>
      </c>
      <c r="C39" s="104">
        <f t="shared" si="0"/>
        <v>17985</v>
      </c>
      <c r="D39" s="101">
        <f t="shared" si="1"/>
        <v>53955</v>
      </c>
      <c r="E39" s="2">
        <v>1</v>
      </c>
      <c r="F39" s="105">
        <f>F32+F26+F23+'Valores y Totales'!B11</f>
        <v>17985</v>
      </c>
      <c r="G39" s="104">
        <f t="shared" si="2"/>
        <v>53955</v>
      </c>
    </row>
    <row r="40" spans="2:7" x14ac:dyDescent="0.2">
      <c r="B40" s="31" t="s">
        <v>152</v>
      </c>
      <c r="C40" s="32">
        <f t="shared" si="0"/>
        <v>3350</v>
      </c>
      <c r="D40" s="44">
        <f t="shared" si="1"/>
        <v>10050</v>
      </c>
      <c r="E40" s="39">
        <f>'Torta Vainilla'!C29</f>
        <v>1</v>
      </c>
      <c r="F40" s="32">
        <f>'Torta Vainilla'!C30</f>
        <v>3350</v>
      </c>
      <c r="G40" s="32">
        <f t="shared" si="2"/>
        <v>10050</v>
      </c>
    </row>
    <row r="41" spans="2:7" x14ac:dyDescent="0.2">
      <c r="B41" s="49" t="s">
        <v>153</v>
      </c>
      <c r="C41" s="33">
        <f t="shared" si="0"/>
        <v>335.75299999999999</v>
      </c>
      <c r="D41" s="53">
        <f t="shared" si="1"/>
        <v>1007.259</v>
      </c>
      <c r="E41" s="27">
        <f>'Vaso Geng y Limon'!H4</f>
        <v>30</v>
      </c>
      <c r="F41" s="33">
        <f>'Vaso Geng y Limon'!H5</f>
        <v>10072.59</v>
      </c>
      <c r="G41" s="33">
        <f t="shared" si="2"/>
        <v>30217.77</v>
      </c>
    </row>
    <row r="42" spans="2:7" x14ac:dyDescent="0.2">
      <c r="B42" s="31" t="s">
        <v>85</v>
      </c>
      <c r="C42" s="32">
        <f t="shared" ref="C42" si="5">F42/E42</f>
        <v>5305</v>
      </c>
      <c r="D42" s="44">
        <f t="shared" ref="D42" si="6">G42/E42</f>
        <v>15915</v>
      </c>
      <c r="E42" s="39">
        <f>'Pastafrola Dulce de Leche'!C29</f>
        <v>2</v>
      </c>
      <c r="F42" s="32">
        <f>'Pastafrola Dulce de Leche'!C30</f>
        <v>10610</v>
      </c>
      <c r="G42" s="32">
        <f t="shared" ref="G42" si="7">F42*3</f>
        <v>31830</v>
      </c>
    </row>
  </sheetData>
  <sortState xmlns:xlrd2="http://schemas.microsoft.com/office/spreadsheetml/2017/richdata2" ref="B2:G25">
    <sortCondition ref="B2:B25"/>
  </sortState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G32"/>
  <sheetViews>
    <sheetView topLeftCell="A10" workbookViewId="0">
      <selection activeCell="C13" sqref="C13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 t="shared" ref="E2:E26" si="0"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si="0"/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>G$1*C7</f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8</v>
      </c>
      <c r="D10" s="5">
        <f>C10*'Valores y Totales'!C10</f>
        <v>176</v>
      </c>
      <c r="E10" s="2">
        <f t="shared" si="0"/>
        <v>8</v>
      </c>
    </row>
    <row r="11" spans="2:7" x14ac:dyDescent="0.2">
      <c r="B11" s="2" t="s">
        <v>14</v>
      </c>
      <c r="C11" s="2">
        <v>10</v>
      </c>
      <c r="D11" s="5">
        <f>C11*'Valores y Totales'!C11</f>
        <v>50</v>
      </c>
      <c r="E11" s="2">
        <f t="shared" si="0"/>
        <v>10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7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7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7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7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7" x14ac:dyDescent="0.2">
      <c r="B21" s="2" t="s">
        <v>24</v>
      </c>
      <c r="C21" s="2">
        <v>10</v>
      </c>
      <c r="D21" s="5">
        <f>C21*'Valores y Totales'!C21</f>
        <v>100</v>
      </c>
      <c r="E21" s="2">
        <f>G$1*C21</f>
        <v>10</v>
      </c>
    </row>
    <row r="22" spans="2:7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7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7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7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7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7" x14ac:dyDescent="0.2">
      <c r="B27" s="2" t="s">
        <v>125</v>
      </c>
      <c r="C27" s="2">
        <v>0</v>
      </c>
      <c r="D27" s="5">
        <f>C27*'Valores y Totales'!C36</f>
        <v>0</v>
      </c>
      <c r="E27" s="2"/>
    </row>
    <row r="28" spans="2:7" x14ac:dyDescent="0.2">
      <c r="C28" s="19" t="s">
        <v>30</v>
      </c>
      <c r="D28" s="19" t="s">
        <v>31</v>
      </c>
    </row>
    <row r="29" spans="2:7" x14ac:dyDescent="0.2">
      <c r="B29" s="3" t="s">
        <v>32</v>
      </c>
      <c r="C29" s="89">
        <v>1</v>
      </c>
      <c r="D29" s="11">
        <f>C29*G$1</f>
        <v>1</v>
      </c>
    </row>
    <row r="30" spans="2:7" x14ac:dyDescent="0.2">
      <c r="B30" s="3" t="s">
        <v>33</v>
      </c>
      <c r="C30" s="13">
        <f>SUM(D2:D27)</f>
        <v>326</v>
      </c>
      <c r="D30" s="12">
        <f>C30*G$1</f>
        <v>326</v>
      </c>
    </row>
    <row r="31" spans="2:7" x14ac:dyDescent="0.2">
      <c r="B31" s="3"/>
      <c r="C31" s="13"/>
      <c r="D31" s="14"/>
    </row>
    <row r="32" spans="2:7" x14ac:dyDescent="0.2">
      <c r="B32" s="3" t="s">
        <v>35</v>
      </c>
      <c r="C32" s="13">
        <f>SUM(D4:D27)</f>
        <v>326</v>
      </c>
      <c r="D32" s="16">
        <f>C32</f>
        <v>326</v>
      </c>
      <c r="G32" s="6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G32"/>
  <sheetViews>
    <sheetView workbookViewId="0">
      <selection activeCell="G22" sqref="G22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 t="shared" ref="E2:E26" si="0"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si="0"/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1000</v>
      </c>
      <c r="D7" s="5">
        <f>C7*'Valores y Totales'!C7</f>
        <v>1400</v>
      </c>
      <c r="E7" s="2">
        <f>G$1*C7</f>
        <v>1000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7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7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7" x14ac:dyDescent="0.2">
      <c r="B19" s="2" t="s">
        <v>22</v>
      </c>
      <c r="C19" s="2">
        <v>5</v>
      </c>
      <c r="D19" s="5">
        <f>C19*'Valores y Totales'!C19</f>
        <v>2500</v>
      </c>
      <c r="E19" s="2">
        <f t="shared" si="0"/>
        <v>5</v>
      </c>
    </row>
    <row r="20" spans="2:7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7" x14ac:dyDescent="0.2">
      <c r="B21" s="2" t="s">
        <v>24</v>
      </c>
      <c r="C21" s="2">
        <v>300</v>
      </c>
      <c r="D21" s="5">
        <f>C21*'Valores y Totales'!C21</f>
        <v>3000</v>
      </c>
      <c r="E21" s="2">
        <f>G$1*C21</f>
        <v>300</v>
      </c>
    </row>
    <row r="22" spans="2:7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7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7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7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7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7" x14ac:dyDescent="0.2">
      <c r="B27" s="2" t="s">
        <v>125</v>
      </c>
      <c r="C27" s="2">
        <v>0</v>
      </c>
      <c r="D27" s="5">
        <f>C27*'Valores y Totales'!C36</f>
        <v>0</v>
      </c>
      <c r="E27" s="2"/>
    </row>
    <row r="28" spans="2:7" x14ac:dyDescent="0.2">
      <c r="C28" s="19" t="s">
        <v>30</v>
      </c>
      <c r="D28" s="19" t="s">
        <v>31</v>
      </c>
    </row>
    <row r="29" spans="2:7" x14ac:dyDescent="0.2">
      <c r="B29" s="3" t="s">
        <v>32</v>
      </c>
      <c r="C29" s="89">
        <v>0.5</v>
      </c>
      <c r="D29" s="11">
        <f>C29*G$1</f>
        <v>0.5</v>
      </c>
    </row>
    <row r="30" spans="2:7" x14ac:dyDescent="0.2">
      <c r="B30" s="3" t="s">
        <v>33</v>
      </c>
      <c r="C30" s="13">
        <f>SUM(D2:D27)</f>
        <v>6900</v>
      </c>
      <c r="D30" s="12">
        <f>C30*G$1</f>
        <v>6900</v>
      </c>
    </row>
    <row r="31" spans="2:7" x14ac:dyDescent="0.2">
      <c r="B31" s="3"/>
      <c r="C31" s="13"/>
      <c r="D31" s="14"/>
    </row>
    <row r="32" spans="2:7" x14ac:dyDescent="0.2">
      <c r="B32" s="3" t="s">
        <v>35</v>
      </c>
      <c r="C32" s="13">
        <f>SUM(D4:D29)</f>
        <v>6900.5</v>
      </c>
      <c r="D32" s="16">
        <f>C32</f>
        <v>6900.5</v>
      </c>
      <c r="G32" s="6">
        <f>Cascaritas!D$32</f>
        <v>6900.5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G33"/>
  <sheetViews>
    <sheetView topLeftCell="A14" workbookViewId="0">
      <selection activeCell="D34" sqref="D34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 t="shared" ref="E2:E28" si="0">G$1*C2</f>
        <v>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si="0"/>
        <v>500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10</v>
      </c>
      <c r="D7" s="5">
        <f>C7*'Valores y Totales'!C7</f>
        <v>14</v>
      </c>
      <c r="E7" s="2">
        <f>G$1*C7</f>
        <v>10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>G$1*C21</f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B27" s="2" t="s">
        <v>57</v>
      </c>
      <c r="C27" s="2">
        <v>30</v>
      </c>
      <c r="D27" s="5">
        <f>C27*'Valores y Totales'!C41</f>
        <v>36</v>
      </c>
      <c r="E27" s="2">
        <f t="shared" si="0"/>
        <v>30</v>
      </c>
    </row>
    <row r="28" spans="2:5" x14ac:dyDescent="0.2">
      <c r="B28" s="2" t="s">
        <v>154</v>
      </c>
      <c r="C28" s="2">
        <v>0.5</v>
      </c>
      <c r="D28" s="5">
        <f>C28*'Valores y Totales'!C43</f>
        <v>12.5</v>
      </c>
      <c r="E28" s="2">
        <f t="shared" si="0"/>
        <v>0.5</v>
      </c>
    </row>
    <row r="29" spans="2:5" x14ac:dyDescent="0.2">
      <c r="C29" s="19" t="s">
        <v>30</v>
      </c>
      <c r="D29" s="19" t="s">
        <v>31</v>
      </c>
    </row>
    <row r="30" spans="2:5" x14ac:dyDescent="0.2">
      <c r="B30" s="3" t="s">
        <v>32</v>
      </c>
      <c r="C30" s="89">
        <v>1</v>
      </c>
      <c r="D30" s="11">
        <f>C30*G$1</f>
        <v>1</v>
      </c>
    </row>
    <row r="31" spans="2:5" x14ac:dyDescent="0.2">
      <c r="B31" s="3" t="s">
        <v>33</v>
      </c>
      <c r="C31" s="13">
        <f>SUM(D2:D28)</f>
        <v>1012.5</v>
      </c>
      <c r="D31" s="12">
        <f>C31*G$1</f>
        <v>1012.5</v>
      </c>
    </row>
    <row r="32" spans="2:5" x14ac:dyDescent="0.2">
      <c r="B32" s="3"/>
      <c r="C32" s="13"/>
      <c r="D32" s="14"/>
    </row>
    <row r="33" spans="2:7" x14ac:dyDescent="0.2">
      <c r="B33" s="3" t="s">
        <v>35</v>
      </c>
      <c r="C33" s="13">
        <f>SUM(D2:D28)</f>
        <v>1012.5</v>
      </c>
      <c r="D33" s="16">
        <f>C33</f>
        <v>1012.5</v>
      </c>
      <c r="G33" s="6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 tint="-0.249977111117893"/>
    <pageSetUpPr fitToPage="1"/>
  </sheetPr>
  <dimension ref="A1:Q55"/>
  <sheetViews>
    <sheetView topLeftCell="A11" zoomScale="90" zoomScaleNormal="90" workbookViewId="0">
      <selection activeCell="B45" sqref="B45"/>
    </sheetView>
  </sheetViews>
  <sheetFormatPr defaultColWidth="9.14453125" defaultRowHeight="15" x14ac:dyDescent="0.2"/>
  <cols>
    <col min="1" max="1" width="25.828125" bestFit="1" customWidth="1"/>
    <col min="2" max="2" width="11.43359375" bestFit="1" customWidth="1"/>
    <col min="3" max="3" width="12.64453125" bestFit="1" customWidth="1"/>
    <col min="4" max="4" width="0.53515625" customWidth="1"/>
    <col min="5" max="5" width="14.66015625" hidden="1" customWidth="1"/>
    <col min="6" max="6" width="20.04296875" hidden="1" customWidth="1"/>
    <col min="8" max="8" width="21.5234375" bestFit="1" customWidth="1"/>
  </cols>
  <sheetData>
    <row r="1" spans="1:17" x14ac:dyDescent="0.2">
      <c r="A1" s="112"/>
      <c r="B1" s="112" t="s">
        <v>155</v>
      </c>
      <c r="C1" s="112" t="s">
        <v>156</v>
      </c>
      <c r="D1" s="115"/>
      <c r="E1" s="116" t="s">
        <v>157</v>
      </c>
      <c r="F1" s="116" t="s">
        <v>158</v>
      </c>
      <c r="G1" s="115"/>
      <c r="H1" s="112" t="s">
        <v>159</v>
      </c>
      <c r="I1" s="112" t="s">
        <v>160</v>
      </c>
      <c r="J1" s="112" t="s">
        <v>161</v>
      </c>
    </row>
    <row r="2" spans="1:17" x14ac:dyDescent="0.2">
      <c r="A2" s="117" t="s">
        <v>5</v>
      </c>
      <c r="B2" s="118">
        <v>11000</v>
      </c>
      <c r="C2" s="119">
        <f>B2/1000</f>
        <v>11</v>
      </c>
      <c r="E2" s="2">
        <f>Brownies!E2+'Masitas de Manteca (choc)'!E2+'Alfajores de Maicena'!E2+'Alfajores de Chocolate'!E2+MiniRogel!E2+'Espumita de Limon'!E2+TartitasChocolate!E2+'Bombones de Chocolate'!E2+Cakepops!E2+'Torta Galesa'!E2</f>
        <v>1280</v>
      </c>
      <c r="F2" s="5">
        <f>E2*C2</f>
        <v>14080</v>
      </c>
      <c r="H2" s="117" t="s">
        <v>162</v>
      </c>
      <c r="I2" s="120">
        <v>120</v>
      </c>
      <c r="J2" s="117"/>
      <c r="M2" t="s">
        <v>163</v>
      </c>
      <c r="N2">
        <v>6900</v>
      </c>
      <c r="O2">
        <v>250</v>
      </c>
      <c r="P2">
        <f>O2/7</f>
        <v>35.714285714285715</v>
      </c>
      <c r="Q2">
        <f>N2/P2</f>
        <v>193.2</v>
      </c>
    </row>
    <row r="3" spans="1:17" x14ac:dyDescent="0.2">
      <c r="A3" s="2" t="s">
        <v>6</v>
      </c>
      <c r="B3" s="5">
        <v>1100</v>
      </c>
      <c r="C3" s="7">
        <f>B3/1000</f>
        <v>1.1000000000000001</v>
      </c>
      <c r="E3" s="2">
        <f>Brownies!E3+'Masitas de Manteca (choc)'!E3+'Alfajores de Maicena'!E3+'Alfajores de Chocolate'!E3+MiniRogel!E3+'Espumita de Limon'!E3+TartitasChocolate!E3+'Bombones de Chocolate'!E3+Cakepops!E3+'Torta Galesa'!E3</f>
        <v>1420</v>
      </c>
      <c r="F3" s="5">
        <f t="shared" ref="F3:F26" si="0">E3*C3</f>
        <v>1562.0000000000002</v>
      </c>
      <c r="H3" s="2" t="s">
        <v>164</v>
      </c>
      <c r="I3" s="5">
        <v>6</v>
      </c>
      <c r="J3" s="2"/>
    </row>
    <row r="4" spans="1:17" x14ac:dyDescent="0.2">
      <c r="A4" s="2" t="s">
        <v>7</v>
      </c>
      <c r="B4" s="5">
        <v>1500</v>
      </c>
      <c r="C4" s="7">
        <f>B4/1000</f>
        <v>1.5</v>
      </c>
      <c r="E4" s="2">
        <f>Brownies!E4+'Masitas de Manteca (choc)'!E4+'Alfajores de Maicena'!E4+'Alfajores de Chocolate'!E4+MiniRogel!E4+'Espumita de Limon'!E4+TartitasChocolate!E4+'Bombones de Chocolate'!E4+Cakepops!E4+'Torta Galesa'!E4</f>
        <v>415</v>
      </c>
      <c r="F4" s="5">
        <f t="shared" si="0"/>
        <v>622.5</v>
      </c>
      <c r="H4" s="2" t="s">
        <v>165</v>
      </c>
      <c r="I4" s="5">
        <v>170</v>
      </c>
      <c r="J4" s="2"/>
    </row>
    <row r="5" spans="1:17" x14ac:dyDescent="0.2">
      <c r="A5" s="2" t="s">
        <v>8</v>
      </c>
      <c r="B5" s="5">
        <v>25000</v>
      </c>
      <c r="C5" s="7">
        <f>B5/1000</f>
        <v>25</v>
      </c>
      <c r="E5" s="2">
        <f>Brownies!E5+'Masitas de Manteca (choc)'!E5+'Alfajores de Maicena'!E5+'Alfajores de Chocolate'!E5+MiniRogel!E5+'Espumita de Limon'!E5+TartitasChocolate!E5+'Bombones de Chocolate'!E5+Cakepops!E5+'Torta Galesa'!E5</f>
        <v>75</v>
      </c>
      <c r="F5" s="5">
        <f t="shared" si="0"/>
        <v>1875</v>
      </c>
      <c r="H5" s="2" t="s">
        <v>166</v>
      </c>
      <c r="I5" s="5">
        <v>5</v>
      </c>
      <c r="J5" s="2"/>
    </row>
    <row r="6" spans="1:17" x14ac:dyDescent="0.2">
      <c r="A6" s="1" t="s">
        <v>9</v>
      </c>
      <c r="B6" s="5">
        <v>210</v>
      </c>
      <c r="C6" s="7">
        <f>B6</f>
        <v>210</v>
      </c>
      <c r="E6" s="2">
        <f>Brownies!E6+'Masitas de Manteca (choc)'!E6+'Alfajores de Maicena'!E6+'Alfajores de Chocolate'!E6+MiniRogel!E6+'Espumita de Limon'!E6+TartitasChocolate!E6+'Bombones de Chocolate'!E6+Cakepops!E6+'Torta Galesa'!E6</f>
        <v>25.5</v>
      </c>
      <c r="F6" s="5">
        <f t="shared" si="0"/>
        <v>5355</v>
      </c>
      <c r="H6" s="2" t="s">
        <v>167</v>
      </c>
      <c r="I6" s="5">
        <v>5</v>
      </c>
      <c r="J6" s="2"/>
    </row>
    <row r="7" spans="1:17" x14ac:dyDescent="0.2">
      <c r="A7" s="2" t="s">
        <v>10</v>
      </c>
      <c r="B7" s="5">
        <v>1400</v>
      </c>
      <c r="C7" s="7">
        <f t="shared" ref="C7:C13" si="1">B7/1000</f>
        <v>1.4</v>
      </c>
      <c r="E7" s="2">
        <f>Brownies!E7+'Masitas de Manteca (choc)'!E7+'Alfajores de Maicena'!E7+'Alfajores de Chocolate'!E7+MiniRogel!E7+'Espumita de Limon'!E7+TartitasChocolate!E7+'Bombones de Chocolate'!E7+Cakepops!E7+'Torta Galesa'!E7</f>
        <v>1100</v>
      </c>
      <c r="F7" s="5">
        <f t="shared" si="0"/>
        <v>1540</v>
      </c>
      <c r="H7" s="2" t="s">
        <v>168</v>
      </c>
      <c r="I7" s="5">
        <v>150</v>
      </c>
      <c r="J7" s="2"/>
    </row>
    <row r="8" spans="1:17" x14ac:dyDescent="0.2">
      <c r="A8" s="2" t="s">
        <v>11</v>
      </c>
      <c r="B8" s="5">
        <v>2100</v>
      </c>
      <c r="C8" s="7">
        <f t="shared" si="1"/>
        <v>2.1</v>
      </c>
      <c r="E8" s="2">
        <f>Brownies!E8+'Masitas de Manteca (choc)'!E8+'Alfajores de Maicena'!E8+'Alfajores de Chocolate'!E8+MiniRogel!E8+'Espumita de Limon'!E8+TartitasChocolate!E8+'Bombones de Chocolate'!E8+Cakepops!E8+'Torta Galesa'!E8</f>
        <v>350</v>
      </c>
      <c r="F8" s="5">
        <f t="shared" si="0"/>
        <v>735</v>
      </c>
      <c r="H8" s="27" t="s">
        <v>169</v>
      </c>
      <c r="I8" s="20">
        <v>40</v>
      </c>
      <c r="J8" s="27"/>
    </row>
    <row r="9" spans="1:17" x14ac:dyDescent="0.2">
      <c r="A9" s="2" t="s">
        <v>12</v>
      </c>
      <c r="B9" s="5">
        <v>26000</v>
      </c>
      <c r="C9" s="7">
        <f t="shared" si="1"/>
        <v>26</v>
      </c>
      <c r="E9" s="2">
        <f>Brownies!E9+'Masitas de Manteca (choc)'!E9+'Alfajores de Maicena'!E9+'Alfajores de Chocolate'!E9+MiniRogel!E9+'Espumita de Limon'!E9+TartitasChocolate!E9+'Bombones de Chocolate'!E9+Cakepops!E9+'Torta Galesa'!E9</f>
        <v>360</v>
      </c>
      <c r="F9" s="5">
        <f t="shared" si="0"/>
        <v>9360</v>
      </c>
      <c r="H9" s="2" t="s">
        <v>170</v>
      </c>
      <c r="I9" s="20">
        <v>15</v>
      </c>
      <c r="J9" s="2"/>
    </row>
    <row r="10" spans="1:17" x14ac:dyDescent="0.2">
      <c r="A10" s="2" t="s">
        <v>13</v>
      </c>
      <c r="B10" s="5">
        <v>22000</v>
      </c>
      <c r="C10" s="5">
        <f t="shared" si="1"/>
        <v>22</v>
      </c>
      <c r="E10" s="2">
        <f>Brownies!E10+'Masitas de Manteca (choc)'!E10+'Alfajores de Maicena'!E10+'Alfajores de Chocolate'!E10+MiniRogel!E10+'Espumita de Limon'!E10+TartitasChocolate!E10+'Bombones de Chocolate'!E10+Cakepops!E10+'Torta Galesa'!E10</f>
        <v>100</v>
      </c>
      <c r="F10" s="5">
        <f t="shared" si="0"/>
        <v>2200</v>
      </c>
      <c r="H10" s="2" t="s">
        <v>171</v>
      </c>
      <c r="I10" s="5">
        <v>30</v>
      </c>
      <c r="J10" s="2"/>
    </row>
    <row r="11" spans="1:17" x14ac:dyDescent="0.2">
      <c r="A11" s="2" t="s">
        <v>14</v>
      </c>
      <c r="B11" s="5">
        <v>5000</v>
      </c>
      <c r="C11" s="5">
        <f t="shared" si="1"/>
        <v>5</v>
      </c>
      <c r="E11" s="2">
        <f>Brownies!E11+'Masitas de Manteca (choc)'!E11+'Alfajores de Maicena'!E11+'Alfajores de Chocolate'!E11+MiniRogel!E11+'Espumita de Limon'!E11+TartitasChocolate!E11+'Bombones de Chocolate'!E11+Cakepops!E11+'Torta Galesa'!E11</f>
        <v>3220</v>
      </c>
      <c r="F11" s="5">
        <f t="shared" si="0"/>
        <v>16100</v>
      </c>
      <c r="H11" s="2" t="s">
        <v>172</v>
      </c>
      <c r="I11" s="5">
        <v>600</v>
      </c>
      <c r="J11" s="2"/>
    </row>
    <row r="12" spans="1:17" x14ac:dyDescent="0.2">
      <c r="A12" s="2" t="s">
        <v>15</v>
      </c>
      <c r="B12" s="5">
        <v>10000</v>
      </c>
      <c r="C12" s="7">
        <f t="shared" si="1"/>
        <v>10</v>
      </c>
      <c r="E12" s="2">
        <f>Brownies!E12+'Masitas de Manteca (choc)'!E12+'Alfajores de Maicena'!E12+'Alfajores de Chocolate'!E12+MiniRogel!E12+'Espumita de Limon'!E12+TartitasChocolate!E12+'Bombones de Chocolate'!E12+Cakepops!E12+'Torta Galesa'!E12</f>
        <v>0</v>
      </c>
      <c r="F12" s="5">
        <f t="shared" si="0"/>
        <v>0</v>
      </c>
      <c r="H12" s="2"/>
      <c r="I12" s="5"/>
      <c r="J12" s="2"/>
    </row>
    <row r="13" spans="1:17" x14ac:dyDescent="0.2">
      <c r="A13" s="2" t="s">
        <v>16</v>
      </c>
      <c r="B13" s="5">
        <v>2100</v>
      </c>
      <c r="C13" s="7">
        <f t="shared" si="1"/>
        <v>2.1</v>
      </c>
      <c r="E13" s="2">
        <f>Brownies!E13+'Masitas de Manteca (choc)'!E13+'Alfajores de Maicena'!E13+'Alfajores de Chocolate'!E13+MiniRogel!E13+'Espumita de Limon'!E13+TartitasChocolate!E13+'Bombones de Chocolate'!E13+Cakepops!E13+'Torta Galesa'!E13</f>
        <v>400</v>
      </c>
      <c r="F13" s="5">
        <f t="shared" si="0"/>
        <v>840</v>
      </c>
    </row>
    <row r="14" spans="1:17" x14ac:dyDescent="0.2">
      <c r="A14" s="2" t="s">
        <v>17</v>
      </c>
      <c r="B14" s="5">
        <v>500</v>
      </c>
      <c r="C14" s="7">
        <f>B14</f>
        <v>500</v>
      </c>
      <c r="E14" s="2">
        <f>Brownies!E14+'Masitas de Manteca (choc)'!E14+'Alfajores de Maicena'!E14+'Alfajores de Chocolate'!E14+MiniRogel!E14+'Espumita de Limon'!E14+TartitasChocolate!E14+'Bombones de Chocolate'!E14+Cakepops!E14+'Torta Galesa'!E14</f>
        <v>3</v>
      </c>
      <c r="F14" s="5">
        <f t="shared" si="0"/>
        <v>1500</v>
      </c>
    </row>
    <row r="15" spans="1:17" x14ac:dyDescent="0.2">
      <c r="A15" s="2" t="s">
        <v>18</v>
      </c>
      <c r="B15" s="5">
        <v>900</v>
      </c>
      <c r="C15" s="7">
        <f>B15/1000</f>
        <v>0.9</v>
      </c>
      <c r="E15" s="2">
        <f>Brownies!E15+'Masitas de Manteca (choc)'!E15+'Alfajores de Maicena'!E15+'Alfajores de Chocolate'!E15+MiniRogel!E15+'Espumita de Limon'!E15+TartitasChocolate!E15+'Bombones de Chocolate'!E15+Cakepops!E15+'Torta Galesa'!E15</f>
        <v>0</v>
      </c>
      <c r="F15" s="5">
        <f t="shared" si="0"/>
        <v>0</v>
      </c>
    </row>
    <row r="16" spans="1:17" x14ac:dyDescent="0.2">
      <c r="A16" s="2" t="s">
        <v>173</v>
      </c>
      <c r="B16" s="5">
        <v>4000</v>
      </c>
      <c r="C16" s="7">
        <f>B16/1000</f>
        <v>4</v>
      </c>
      <c r="E16" s="2">
        <f>Brownies!E16+'Masitas de Manteca (choc)'!E16+'Alfajores de Maicena'!E16+'Alfajores de Chocolate'!E16+MiniRogel!E16+'Espumita de Limon'!E16+TartitasChocolate!E16+'Bombones de Chocolate'!E16+Cakepops!E16+'Torta Galesa'!E16</f>
        <v>22</v>
      </c>
      <c r="F16" s="5">
        <f t="shared" si="0"/>
        <v>88</v>
      </c>
      <c r="I16">
        <v>0.75</v>
      </c>
    </row>
    <row r="17" spans="1:13" x14ac:dyDescent="0.2">
      <c r="A17" s="2" t="s">
        <v>20</v>
      </c>
      <c r="B17" s="5">
        <v>2500</v>
      </c>
      <c r="C17" s="7">
        <f>B17/1000</f>
        <v>2.5</v>
      </c>
      <c r="E17" s="2">
        <f>Brownies!E17+'Masitas de Manteca (choc)'!E17+'Alfajores de Maicena'!E17+'Alfajores de Chocolate'!E17+MiniRogel!E17+'Espumita de Limon'!E17+TartitasChocolate!E17+'Bombones de Chocolate'!E17+Cakepops!E17+'Torta Galesa'!E17</f>
        <v>0</v>
      </c>
      <c r="F17" s="5">
        <f t="shared" si="0"/>
        <v>0</v>
      </c>
    </row>
    <row r="18" spans="1:13" x14ac:dyDescent="0.2">
      <c r="A18" s="2" t="s">
        <v>21</v>
      </c>
      <c r="B18" s="5">
        <v>10000</v>
      </c>
      <c r="C18" s="7">
        <f>B18/750</f>
        <v>13.333333333333334</v>
      </c>
      <c r="E18" s="2">
        <f>Brownies!E18+'Masitas de Manteca (choc)'!E18+'Alfajores de Maicena'!E18+'Alfajores de Chocolate'!E18+MiniRogel!E18+'Espumita de Limon'!E18+TartitasChocolate!E18+'Bombones de Chocolate'!E18+Cakepops!E18+'Torta Galesa'!E18</f>
        <v>120</v>
      </c>
      <c r="F18" s="5">
        <f t="shared" si="0"/>
        <v>1600</v>
      </c>
      <c r="G18" s="36"/>
      <c r="H18" s="36"/>
    </row>
    <row r="19" spans="1:13" x14ac:dyDescent="0.2">
      <c r="A19" s="2" t="s">
        <v>22</v>
      </c>
      <c r="B19" s="5">
        <v>500</v>
      </c>
      <c r="C19" s="7">
        <f>B19</f>
        <v>500</v>
      </c>
      <c r="E19" s="2">
        <f>Brownies!E19+'Masitas de Manteca (choc)'!E19+'Alfajores de Maicena'!E19+'Alfajores de Chocolate'!E19+MiniRogel!E19+'Espumita de Limon'!E19+TartitasChocolate!E19+'Bombones de Chocolate'!E19+Cakepops!E19+'Torta Galesa'!E19</f>
        <v>0</v>
      </c>
      <c r="F19" s="5">
        <f t="shared" si="0"/>
        <v>0</v>
      </c>
      <c r="L19">
        <v>290</v>
      </c>
      <c r="M19">
        <v>2500</v>
      </c>
    </row>
    <row r="20" spans="1:13" x14ac:dyDescent="0.2">
      <c r="A20" s="2" t="s">
        <v>23</v>
      </c>
      <c r="B20" s="5">
        <v>2300</v>
      </c>
      <c r="C20" s="7">
        <f>B20/1000</f>
        <v>2.2999999999999998</v>
      </c>
      <c r="E20" s="2">
        <f>Brownies!E20+'Masitas de Manteca (choc)'!E20+'Alfajores de Maicena'!E20+'Alfajores de Chocolate'!E20+MiniRogel!E20+'Espumita de Limon'!E20+TartitasChocolate!E20+'Bombones de Chocolate'!E20+Cakepops!E20+'Torta Galesa'!E20</f>
        <v>660</v>
      </c>
      <c r="F20" s="5">
        <f t="shared" si="0"/>
        <v>1517.9999999999998</v>
      </c>
      <c r="L20">
        <v>1000</v>
      </c>
    </row>
    <row r="21" spans="1:13" x14ac:dyDescent="0.2">
      <c r="A21" s="2" t="s">
        <v>174</v>
      </c>
      <c r="B21" s="5">
        <v>10000</v>
      </c>
      <c r="C21" s="7">
        <f>B21/1000</f>
        <v>10</v>
      </c>
      <c r="E21" s="2">
        <f>Brownies!E21+'Masitas de Manteca (choc)'!E21+'Alfajores de Maicena'!E21+'Alfajores de Chocolate'!E21+MiniRogel!E21+'Espumita de Limon'!E21+TartitasChocolate!E21+'Bombones de Chocolate'!E21+Cakepops!E21+'Torta Galesa'!E21</f>
        <v>900</v>
      </c>
      <c r="F21" s="5">
        <f t="shared" si="0"/>
        <v>9000</v>
      </c>
      <c r="H21" s="36" t="s">
        <v>175</v>
      </c>
    </row>
    <row r="22" spans="1:13" x14ac:dyDescent="0.2">
      <c r="A22" s="2" t="s">
        <v>25</v>
      </c>
      <c r="B22" s="5">
        <v>130</v>
      </c>
      <c r="C22" s="7">
        <f>B22/1000</f>
        <v>0.13</v>
      </c>
      <c r="E22" s="2">
        <f>Brownies!E22+'Masitas de Manteca (choc)'!E22+'Alfajores de Maicena'!E22+'Alfajores de Chocolate'!E22+MiniRogel!E22+'Espumita de Limon'!E22+TartitasChocolate!E22+'Bombones de Chocolate'!E22+Cakepops!E22+'Torta Galesa'!E22</f>
        <v>0</v>
      </c>
      <c r="F22" s="5">
        <f t="shared" si="0"/>
        <v>0</v>
      </c>
    </row>
    <row r="23" spans="1:13" x14ac:dyDescent="0.2">
      <c r="A23" s="2" t="s">
        <v>26</v>
      </c>
      <c r="B23" s="5">
        <v>6807</v>
      </c>
      <c r="C23" s="7">
        <f>B23/1000</f>
        <v>6.8070000000000004</v>
      </c>
      <c r="E23" s="2">
        <f>Brownies!E23+'Masitas de Manteca (choc)'!E23+'Alfajores de Maicena'!E23+'Alfajores de Chocolate'!E23+MiniRogel!E23+'Espumita de Limon'!E23+TartitasChocolate!E23+'Bombones de Chocolate'!E23+Cakepops!E23+'Torta Galesa'!E23</f>
        <v>100</v>
      </c>
      <c r="F23" s="5">
        <f t="shared" si="0"/>
        <v>680.7</v>
      </c>
    </row>
    <row r="24" spans="1:13" x14ac:dyDescent="0.2">
      <c r="A24" s="2" t="s">
        <v>27</v>
      </c>
      <c r="B24" s="5">
        <v>4821</v>
      </c>
      <c r="C24" s="7">
        <f>B24/1000</f>
        <v>4.8209999999999997</v>
      </c>
      <c r="E24" s="2">
        <f>Brownies!E24+'Masitas de Manteca (choc)'!E24+'Alfajores de Maicena'!E24+'Alfajores de Chocolate'!E24+MiniRogel!E24+'Espumita de Limon'!E24+TartitasChocolate!E24+'Bombones de Chocolate'!E24+Cakepops!E24+'Torta Galesa'!E24</f>
        <v>100</v>
      </c>
      <c r="F24" s="5">
        <f t="shared" si="0"/>
        <v>482.09999999999997</v>
      </c>
    </row>
    <row r="25" spans="1:13" x14ac:dyDescent="0.2">
      <c r="A25" s="2" t="s">
        <v>28</v>
      </c>
      <c r="B25" s="5">
        <v>1200</v>
      </c>
      <c r="C25" s="7">
        <f>B25</f>
        <v>1200</v>
      </c>
      <c r="E25" s="2">
        <f>Brownies!E25+'Masitas de Manteca (choc)'!E25+'Alfajores de Maicena'!E25+'Alfajores de Chocolate'!E25+MiniRogel!E25+'Espumita de Limon'!E25+TartitasChocolate!E25+'Bombones de Chocolate'!E25+Cakepops!E25+'Torta Galesa'!E25</f>
        <v>0</v>
      </c>
      <c r="F25" s="5">
        <f t="shared" si="0"/>
        <v>0</v>
      </c>
    </row>
    <row r="26" spans="1:13" x14ac:dyDescent="0.2">
      <c r="A26" s="2" t="s">
        <v>29</v>
      </c>
      <c r="B26" s="5">
        <v>8000</v>
      </c>
      <c r="C26" s="7">
        <f>B26/1000</f>
        <v>8</v>
      </c>
      <c r="E26" s="2">
        <f>Brownies!E26+'Masitas de Manteca (choc)'!E26+'Alfajores de Maicena'!E26+'Alfajores de Chocolate'!E26+MiniRogel!E26+'Espumita de Limon'!E26+TartitasChocolate!E26+'Bombones de Chocolate'!E26+Cakepops!E26+'Torta Galesa'!E26</f>
        <v>90</v>
      </c>
      <c r="F26" s="5">
        <f t="shared" si="0"/>
        <v>720</v>
      </c>
    </row>
    <row r="27" spans="1:13" x14ac:dyDescent="0.2">
      <c r="A27" s="2" t="s">
        <v>42</v>
      </c>
      <c r="B27" s="5">
        <v>170</v>
      </c>
      <c r="C27" s="7">
        <f>B27</f>
        <v>170</v>
      </c>
      <c r="E27" s="2"/>
      <c r="F27" s="5"/>
    </row>
    <row r="28" spans="1:13" x14ac:dyDescent="0.2">
      <c r="A28" s="2" t="s">
        <v>43</v>
      </c>
      <c r="B28" s="5">
        <v>6</v>
      </c>
      <c r="C28" s="7">
        <f>B28</f>
        <v>6</v>
      </c>
      <c r="E28" s="2"/>
      <c r="F28" s="5"/>
    </row>
    <row r="29" spans="1:13" x14ac:dyDescent="0.2">
      <c r="A29" s="2" t="s">
        <v>44</v>
      </c>
      <c r="B29" s="5">
        <v>150</v>
      </c>
      <c r="C29" s="7">
        <f>B29/1000</f>
        <v>0.15</v>
      </c>
      <c r="F29" s="6"/>
    </row>
    <row r="30" spans="1:13" x14ac:dyDescent="0.2">
      <c r="A30" s="2" t="s">
        <v>45</v>
      </c>
      <c r="B30" s="5">
        <v>3</v>
      </c>
      <c r="C30" s="7">
        <f t="shared" ref="C30:C31" si="2">B30/1000</f>
        <v>3.0000000000000001E-3</v>
      </c>
      <c r="F30" s="6"/>
    </row>
    <row r="31" spans="1:13" x14ac:dyDescent="0.2">
      <c r="A31" s="2" t="s">
        <v>46</v>
      </c>
      <c r="B31" s="5">
        <v>6000</v>
      </c>
      <c r="C31" s="7">
        <f t="shared" si="2"/>
        <v>6</v>
      </c>
      <c r="F31" s="6"/>
      <c r="H31" s="36"/>
    </row>
    <row r="32" spans="1:13" x14ac:dyDescent="0.2">
      <c r="A32" s="2" t="s">
        <v>176</v>
      </c>
      <c r="B32" s="2">
        <v>1</v>
      </c>
      <c r="C32" s="2">
        <v>20</v>
      </c>
    </row>
    <row r="33" spans="1:7" x14ac:dyDescent="0.2">
      <c r="A33" s="2" t="s">
        <v>177</v>
      </c>
      <c r="B33" s="2">
        <v>1</v>
      </c>
      <c r="C33" s="2">
        <v>15</v>
      </c>
    </row>
    <row r="34" spans="1:7" x14ac:dyDescent="0.2">
      <c r="A34" s="2" t="s">
        <v>178</v>
      </c>
      <c r="B34" s="2">
        <v>1</v>
      </c>
      <c r="C34" s="2">
        <v>15</v>
      </c>
    </row>
    <row r="35" spans="1:7" x14ac:dyDescent="0.2">
      <c r="A35" s="2" t="s">
        <v>169</v>
      </c>
      <c r="B35" s="2">
        <v>12</v>
      </c>
      <c r="C35" s="2">
        <f>15/B35</f>
        <v>1.25</v>
      </c>
    </row>
    <row r="36" spans="1:7" x14ac:dyDescent="0.2">
      <c r="A36" s="2" t="s">
        <v>179</v>
      </c>
      <c r="B36" s="2">
        <v>600</v>
      </c>
      <c r="C36" s="2">
        <v>10</v>
      </c>
      <c r="G36" t="s">
        <v>180</v>
      </c>
    </row>
    <row r="37" spans="1:7" x14ac:dyDescent="0.2">
      <c r="A37" s="2" t="s">
        <v>181</v>
      </c>
      <c r="B37" s="2">
        <v>5</v>
      </c>
      <c r="C37" s="2">
        <v>5</v>
      </c>
    </row>
    <row r="38" spans="1:7" x14ac:dyDescent="0.2">
      <c r="A38" s="2" t="s">
        <v>182</v>
      </c>
      <c r="B38" s="2">
        <v>9000</v>
      </c>
      <c r="C38" s="7">
        <f>B38/1000</f>
        <v>9</v>
      </c>
    </row>
    <row r="39" spans="1:7" x14ac:dyDescent="0.2">
      <c r="A39" s="2" t="s">
        <v>183</v>
      </c>
      <c r="B39" s="2">
        <v>7000</v>
      </c>
      <c r="C39" s="7">
        <f>B39/1000</f>
        <v>7</v>
      </c>
    </row>
    <row r="40" spans="1:7" x14ac:dyDescent="0.2">
      <c r="A40" s="2" t="s">
        <v>55</v>
      </c>
      <c r="B40" s="2">
        <v>600</v>
      </c>
      <c r="C40" s="7">
        <f>B40/1000</f>
        <v>0.6</v>
      </c>
    </row>
    <row r="41" spans="1:7" x14ac:dyDescent="0.2">
      <c r="A41" s="2" t="s">
        <v>57</v>
      </c>
      <c r="B41" s="2">
        <v>1200</v>
      </c>
      <c r="C41" s="7">
        <f>B41/1000</f>
        <v>1.2</v>
      </c>
    </row>
    <row r="42" spans="1:7" x14ac:dyDescent="0.2">
      <c r="A42" s="2" t="s">
        <v>127</v>
      </c>
      <c r="B42" s="87">
        <v>12500</v>
      </c>
      <c r="C42" s="7">
        <f>B42/1000</f>
        <v>12.5</v>
      </c>
    </row>
    <row r="43" spans="1:7" x14ac:dyDescent="0.2">
      <c r="A43" s="2" t="s">
        <v>154</v>
      </c>
      <c r="B43" s="2">
        <v>25</v>
      </c>
      <c r="C43" s="7">
        <f>B43/1</f>
        <v>25</v>
      </c>
      <c r="G43" t="s">
        <v>184</v>
      </c>
    </row>
    <row r="44" spans="1:7" x14ac:dyDescent="0.2">
      <c r="A44" s="2" t="s">
        <v>185</v>
      </c>
      <c r="B44" s="2">
        <v>12000</v>
      </c>
      <c r="C44" s="2">
        <f>B44/1000</f>
        <v>12</v>
      </c>
    </row>
    <row r="45" spans="1:7" x14ac:dyDescent="0.2">
      <c r="A45" s="2" t="s">
        <v>186</v>
      </c>
      <c r="B45" s="2">
        <v>6000</v>
      </c>
      <c r="C45" s="2">
        <f>B45/1000</f>
        <v>6</v>
      </c>
    </row>
    <row r="46" spans="1:7" x14ac:dyDescent="0.2">
      <c r="A46" s="2" t="s">
        <v>187</v>
      </c>
      <c r="B46" s="2">
        <v>4300</v>
      </c>
      <c r="C46" s="2">
        <f>B46/33</f>
        <v>130.30303030303031</v>
      </c>
    </row>
    <row r="47" spans="1:7" x14ac:dyDescent="0.2">
      <c r="A47" s="2" t="s">
        <v>50</v>
      </c>
      <c r="B47" s="2">
        <v>860</v>
      </c>
      <c r="C47" s="2">
        <f>B47/1000</f>
        <v>0.86</v>
      </c>
    </row>
    <row r="48" spans="1:7" x14ac:dyDescent="0.2">
      <c r="A48" s="2" t="s">
        <v>188</v>
      </c>
      <c r="B48" s="2">
        <v>26520</v>
      </c>
      <c r="C48" s="2">
        <f>B48/1000</f>
        <v>26.52</v>
      </c>
      <c r="D48">
        <f>C48/1000</f>
        <v>2.6519999999999998E-2</v>
      </c>
    </row>
    <row r="49" spans="1:7" x14ac:dyDescent="0.2">
      <c r="A49" s="2" t="s">
        <v>40</v>
      </c>
      <c r="B49" s="2">
        <v>600</v>
      </c>
      <c r="C49" s="2">
        <f>B49</f>
        <v>600</v>
      </c>
      <c r="G49" t="s">
        <v>189</v>
      </c>
    </row>
    <row r="50" spans="1:7" x14ac:dyDescent="0.2">
      <c r="A50" s="2" t="s">
        <v>190</v>
      </c>
      <c r="B50" s="2">
        <v>3325</v>
      </c>
      <c r="C50" s="2">
        <f>B50/1000</f>
        <v>3.3250000000000002</v>
      </c>
      <c r="G50" t="s">
        <v>191</v>
      </c>
    </row>
    <row r="51" spans="1:7" x14ac:dyDescent="0.2">
      <c r="A51" s="2" t="s">
        <v>58</v>
      </c>
      <c r="B51" s="2">
        <v>9900</v>
      </c>
      <c r="C51" s="2">
        <f>B51/1000</f>
        <v>9.9</v>
      </c>
    </row>
    <row r="52" spans="1:7" x14ac:dyDescent="0.2">
      <c r="A52" s="27" t="s">
        <v>52</v>
      </c>
      <c r="B52" s="27">
        <v>8000</v>
      </c>
      <c r="C52" s="27">
        <f>B52/1000</f>
        <v>8</v>
      </c>
    </row>
    <row r="53" spans="1:7" x14ac:dyDescent="0.2">
      <c r="A53" s="122" t="s">
        <v>192</v>
      </c>
      <c r="B53" s="122">
        <v>2600</v>
      </c>
      <c r="C53" s="122">
        <f>B53/1000</f>
        <v>2.6</v>
      </c>
    </row>
    <row r="54" spans="1:7" x14ac:dyDescent="0.2">
      <c r="A54" s="122" t="s">
        <v>193</v>
      </c>
      <c r="B54" s="122">
        <v>6300</v>
      </c>
      <c r="C54" s="122">
        <f>B54/1000</f>
        <v>6.3</v>
      </c>
    </row>
    <row r="55" spans="1:7" x14ac:dyDescent="0.2">
      <c r="A55" s="132" t="s">
        <v>194</v>
      </c>
      <c r="B55" s="132">
        <v>11667</v>
      </c>
      <c r="C55" s="132">
        <v>11.667</v>
      </c>
    </row>
  </sheetData>
  <pageMargins left="0.7" right="0.7" top="0.75" bottom="0.75" header="0.3" footer="0.3"/>
  <pageSetup orientation="portrait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I30"/>
  <sheetViews>
    <sheetView workbookViewId="0">
      <selection activeCell="H5" sqref="H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9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9" x14ac:dyDescent="0.2">
      <c r="B2" s="2" t="s">
        <v>5</v>
      </c>
      <c r="C2" s="1">
        <v>50</v>
      </c>
      <c r="D2" s="5">
        <f>C2*'Valores y Totales'!C2</f>
        <v>550</v>
      </c>
      <c r="E2" s="2">
        <f>G$1*C2</f>
        <v>50</v>
      </c>
    </row>
    <row r="3" spans="2:9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9" si="0">G$1*C3</f>
        <v>0</v>
      </c>
      <c r="H3" s="9" t="s">
        <v>30</v>
      </c>
      <c r="I3" s="9" t="s">
        <v>31</v>
      </c>
    </row>
    <row r="4" spans="2:9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G4" s="3" t="s">
        <v>48</v>
      </c>
      <c r="H4" s="10">
        <v>30</v>
      </c>
      <c r="I4" s="11">
        <f>H4*G$1</f>
        <v>30</v>
      </c>
    </row>
    <row r="5" spans="2:9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10072.59</v>
      </c>
      <c r="I5" s="24">
        <f>H5*G$1</f>
        <v>10072.59</v>
      </c>
    </row>
    <row r="6" spans="2:9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  <c r="G6" s="3" t="s">
        <v>34</v>
      </c>
      <c r="H6" s="13"/>
      <c r="I6" s="14">
        <f>H6</f>
        <v>0</v>
      </c>
    </row>
    <row r="7" spans="2:9" ht="15.75" thickBot="1" x14ac:dyDescent="0.25">
      <c r="B7" s="2" t="s">
        <v>10</v>
      </c>
      <c r="C7" s="2">
        <v>100</v>
      </c>
      <c r="D7" s="5">
        <f>C7*'Valores y Totales'!C7</f>
        <v>140</v>
      </c>
      <c r="E7" s="2">
        <f t="shared" si="0"/>
        <v>100</v>
      </c>
      <c r="G7" s="3" t="s">
        <v>35</v>
      </c>
      <c r="H7" s="15">
        <f>H5/H4</f>
        <v>335.75299999999999</v>
      </c>
      <c r="I7" s="16">
        <f>H7</f>
        <v>335.75299999999999</v>
      </c>
    </row>
    <row r="8" spans="2:9" x14ac:dyDescent="0.2">
      <c r="B8" s="2" t="s">
        <v>11</v>
      </c>
      <c r="C8" s="2">
        <v>25</v>
      </c>
      <c r="D8" s="5">
        <f>C8*'Valores y Totales'!C8</f>
        <v>52.5</v>
      </c>
      <c r="E8" s="2">
        <f t="shared" si="0"/>
        <v>25</v>
      </c>
    </row>
    <row r="9" spans="2:9" x14ac:dyDescent="0.2">
      <c r="B9" s="2" t="s">
        <v>12</v>
      </c>
      <c r="C9" s="2">
        <v>200</v>
      </c>
      <c r="D9" s="5">
        <f>C9*'Valores y Totales'!C9</f>
        <v>5200</v>
      </c>
      <c r="E9" s="2">
        <f t="shared" si="0"/>
        <v>200</v>
      </c>
    </row>
    <row r="10" spans="2:9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9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9" x14ac:dyDescent="0.2">
      <c r="B12" s="2" t="s">
        <v>15</v>
      </c>
      <c r="C12" s="2">
        <v>100</v>
      </c>
      <c r="D12" s="5">
        <f>C12*'Valores y Totales'!C12</f>
        <v>1000</v>
      </c>
      <c r="E12" s="2">
        <f t="shared" si="0"/>
        <v>100</v>
      </c>
    </row>
    <row r="13" spans="2:9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9" x14ac:dyDescent="0.2">
      <c r="B14" s="2" t="s">
        <v>17</v>
      </c>
      <c r="C14" s="2">
        <v>5</v>
      </c>
      <c r="D14" s="5">
        <f>C14*'Valores y Totales'!C14</f>
        <v>2500</v>
      </c>
      <c r="E14" s="2">
        <f t="shared" si="0"/>
        <v>5</v>
      </c>
    </row>
    <row r="15" spans="2:9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9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B27" s="5" t="str">
        <f>'Valores y Totales'!A27</f>
        <v>Leche Condensada (Unidad)</v>
      </c>
      <c r="C27" s="2">
        <v>0</v>
      </c>
      <c r="D27" s="5">
        <f>C27*'Valores y Totales'!C27</f>
        <v>0</v>
      </c>
      <c r="E27" s="2">
        <f t="shared" si="0"/>
        <v>0</v>
      </c>
    </row>
    <row r="28" spans="2:5" x14ac:dyDescent="0.2">
      <c r="B28" s="2" t="str">
        <f>'Valores y Totales'!A28</f>
        <v>Gelatina SS (Unidad)</v>
      </c>
      <c r="C28" s="2">
        <v>0</v>
      </c>
      <c r="D28" s="5">
        <f>C28*'Valores y Totales'!C28</f>
        <v>0</v>
      </c>
      <c r="E28" s="2">
        <f t="shared" si="0"/>
        <v>0</v>
      </c>
    </row>
    <row r="29" spans="2:5" x14ac:dyDescent="0.2">
      <c r="B29" s="2" t="str">
        <f>'Valores y Totales'!A29</f>
        <v>Frutos Rojos</v>
      </c>
      <c r="C29" s="2">
        <v>0</v>
      </c>
      <c r="D29" s="5">
        <f>C29*'Valores y Totales'!C29</f>
        <v>0</v>
      </c>
      <c r="E29" s="2">
        <f t="shared" si="0"/>
        <v>0</v>
      </c>
    </row>
    <row r="30" spans="2:5" x14ac:dyDescent="0.2">
      <c r="B30" s="2" t="str">
        <f>'Valores y Totales'!A30</f>
        <v>Vasitos</v>
      </c>
      <c r="C30" s="2">
        <v>30</v>
      </c>
      <c r="D30" s="5">
        <f>C30*'Valores y Totales'!C30</f>
        <v>0.09</v>
      </c>
      <c r="E30" s="2">
        <f>G$1*C30</f>
        <v>30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I30"/>
  <sheetViews>
    <sheetView workbookViewId="0">
      <selection activeCell="H5" sqref="H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9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9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9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8" si="0">G$1*C3</f>
        <v>0</v>
      </c>
      <c r="H3" s="9" t="s">
        <v>30</v>
      </c>
      <c r="I3" s="9" t="s">
        <v>31</v>
      </c>
    </row>
    <row r="4" spans="2:9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G4" s="3" t="s">
        <v>48</v>
      </c>
      <c r="H4" s="10">
        <v>20</v>
      </c>
      <c r="I4" s="11">
        <f>H4*G$1</f>
        <v>20</v>
      </c>
    </row>
    <row r="5" spans="2:9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7936.06</v>
      </c>
      <c r="I5" s="24">
        <f>H5*G$1</f>
        <v>7936.06</v>
      </c>
    </row>
    <row r="6" spans="2:9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  <c r="G6" s="3" t="s">
        <v>34</v>
      </c>
      <c r="H6" s="13"/>
      <c r="I6" s="14">
        <f>H6</f>
        <v>0</v>
      </c>
    </row>
    <row r="7" spans="2:9" ht="15.75" thickBot="1" x14ac:dyDescent="0.25">
      <c r="B7" s="2" t="s">
        <v>10</v>
      </c>
      <c r="C7" s="2">
        <v>30</v>
      </c>
      <c r="D7" s="5">
        <f>C7*'Valores y Totales'!C7</f>
        <v>42</v>
      </c>
      <c r="E7" s="2">
        <f t="shared" si="0"/>
        <v>30</v>
      </c>
      <c r="G7" s="3" t="s">
        <v>35</v>
      </c>
      <c r="H7" s="15">
        <f>H5/H4</f>
        <v>396.803</v>
      </c>
      <c r="I7" s="16">
        <f>H7</f>
        <v>396.803</v>
      </c>
    </row>
    <row r="8" spans="2:9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9" x14ac:dyDescent="0.2">
      <c r="B9" s="2" t="s">
        <v>12</v>
      </c>
      <c r="C9" s="2">
        <v>200</v>
      </c>
      <c r="D9" s="5">
        <f>C9*'Valores y Totales'!C9</f>
        <v>5200</v>
      </c>
      <c r="E9" s="2">
        <f t="shared" si="0"/>
        <v>200</v>
      </c>
    </row>
    <row r="10" spans="2:9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9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9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9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9" x14ac:dyDescent="0.2">
      <c r="B14" s="2" t="s">
        <v>17</v>
      </c>
      <c r="C14" s="2">
        <v>4</v>
      </c>
      <c r="D14" s="5">
        <f>C14*'Valores y Totales'!C14</f>
        <v>2000</v>
      </c>
      <c r="E14" s="2">
        <f t="shared" si="0"/>
        <v>4</v>
      </c>
    </row>
    <row r="15" spans="2:9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9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200</v>
      </c>
      <c r="D17" s="5">
        <f>C17*'Valores y Totales'!C17</f>
        <v>500</v>
      </c>
      <c r="E17" s="2">
        <f t="shared" si="0"/>
        <v>200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B27" s="5" t="str">
        <f>'Valores y Totales'!A27</f>
        <v>Leche Condensada (Unidad)</v>
      </c>
      <c r="C27" s="2">
        <v>1</v>
      </c>
      <c r="D27" s="5">
        <f>C27*'Valores y Totales'!C27</f>
        <v>170</v>
      </c>
      <c r="E27" s="2">
        <f t="shared" si="0"/>
        <v>1</v>
      </c>
    </row>
    <row r="28" spans="2:5" x14ac:dyDescent="0.2">
      <c r="B28" s="2" t="str">
        <f>'Valores y Totales'!A28</f>
        <v>Gelatina SS (Unidad)</v>
      </c>
      <c r="C28" s="2">
        <v>1.5</v>
      </c>
      <c r="D28" s="5">
        <f>C28*'Valores y Totales'!C28</f>
        <v>9</v>
      </c>
      <c r="E28" s="2">
        <f t="shared" si="0"/>
        <v>1.5</v>
      </c>
    </row>
    <row r="29" spans="2:5" x14ac:dyDescent="0.2">
      <c r="B29" s="2" t="str">
        <f>'Valores y Totales'!A29</f>
        <v>Frutos Rojos</v>
      </c>
      <c r="C29" s="2">
        <v>100</v>
      </c>
      <c r="D29" s="5">
        <f>C29*'Valores y Totales'!C29</f>
        <v>15</v>
      </c>
      <c r="E29" s="2">
        <f>G$1*C29</f>
        <v>100</v>
      </c>
    </row>
    <row r="30" spans="2:5" x14ac:dyDescent="0.2">
      <c r="B30" s="2" t="str">
        <f>'Valores y Totales'!A30</f>
        <v>Vasitos</v>
      </c>
      <c r="C30" s="2">
        <v>20</v>
      </c>
      <c r="D30" s="5">
        <f>C30*'Valores y Totales'!C30</f>
        <v>0.06</v>
      </c>
      <c r="E30" s="2">
        <f>G$1*C30</f>
        <v>20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I29"/>
  <sheetViews>
    <sheetView workbookViewId="0">
      <selection activeCell="H5" sqref="H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9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9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9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8" si="0">G$1*C3</f>
        <v>0</v>
      </c>
      <c r="H3" s="9" t="s">
        <v>30</v>
      </c>
      <c r="I3" s="9" t="s">
        <v>31</v>
      </c>
    </row>
    <row r="4" spans="2:9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G4" s="3" t="s">
        <v>48</v>
      </c>
      <c r="H4" s="10">
        <v>1</v>
      </c>
      <c r="I4" s="11">
        <f>H4*G$1</f>
        <v>1</v>
      </c>
    </row>
    <row r="5" spans="2:9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26124</v>
      </c>
      <c r="I5" s="24">
        <f>H5*G$1</f>
        <v>26124</v>
      </c>
    </row>
    <row r="6" spans="2:9" x14ac:dyDescent="0.2">
      <c r="B6" s="1" t="s">
        <v>9</v>
      </c>
      <c r="C6" s="1">
        <v>10</v>
      </c>
      <c r="D6" s="5">
        <f>C6*'Valores y Totales'!B6</f>
        <v>2100</v>
      </c>
      <c r="E6" s="2">
        <f t="shared" si="0"/>
        <v>10</v>
      </c>
      <c r="G6" s="3" t="s">
        <v>34</v>
      </c>
      <c r="H6" s="13"/>
      <c r="I6" s="14">
        <f>H6</f>
        <v>0</v>
      </c>
    </row>
    <row r="7" spans="2:9" ht="15.75" thickBot="1" x14ac:dyDescent="0.25">
      <c r="B7" s="2" t="s">
        <v>10</v>
      </c>
      <c r="C7" s="2">
        <v>160</v>
      </c>
      <c r="D7" s="5">
        <f>C7*'Valores y Totales'!C7</f>
        <v>224</v>
      </c>
      <c r="E7" s="2">
        <f t="shared" si="0"/>
        <v>160</v>
      </c>
      <c r="G7" s="3" t="s">
        <v>35</v>
      </c>
      <c r="H7" s="15">
        <f>H5/H4</f>
        <v>26124</v>
      </c>
      <c r="I7" s="16">
        <f>H7</f>
        <v>26124</v>
      </c>
    </row>
    <row r="8" spans="2:9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9" x14ac:dyDescent="0.2">
      <c r="B9" s="2" t="s">
        <v>12</v>
      </c>
      <c r="C9" s="2">
        <v>600</v>
      </c>
      <c r="D9" s="5">
        <f>C9*'Valores y Totales'!C9</f>
        <v>15600</v>
      </c>
      <c r="E9" s="2">
        <f t="shared" si="0"/>
        <v>600</v>
      </c>
    </row>
    <row r="10" spans="2:9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9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9" x14ac:dyDescent="0.2">
      <c r="B12" s="2" t="s">
        <v>15</v>
      </c>
      <c r="C12" s="2">
        <v>720</v>
      </c>
      <c r="D12" s="5">
        <f>C12*'Valores y Totales'!C12</f>
        <v>7200</v>
      </c>
      <c r="E12" s="2">
        <f t="shared" si="0"/>
        <v>720</v>
      </c>
    </row>
    <row r="13" spans="2:9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9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9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9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400</v>
      </c>
      <c r="D17" s="5">
        <f>C17*'Valores y Totales'!C17</f>
        <v>1000</v>
      </c>
      <c r="E17" s="2">
        <f t="shared" si="0"/>
        <v>400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B27" s="5" t="str">
        <f>'Valores y Totales'!A27</f>
        <v>Leche Condensada (Unidad)</v>
      </c>
      <c r="C27" s="2">
        <v>0</v>
      </c>
      <c r="D27" s="5">
        <f>C27*'Valores y Totales'!C27</f>
        <v>0</v>
      </c>
      <c r="E27" s="2">
        <f t="shared" si="0"/>
        <v>0</v>
      </c>
    </row>
    <row r="28" spans="2:5" x14ac:dyDescent="0.2">
      <c r="B28" s="2" t="str">
        <f>'Valores y Totales'!A28</f>
        <v>Gelatina SS (Unidad)</v>
      </c>
      <c r="C28" s="2">
        <v>0</v>
      </c>
      <c r="D28" s="5">
        <f>C28*'Valores y Totales'!C28</f>
        <v>0</v>
      </c>
      <c r="E28" s="2">
        <f t="shared" si="0"/>
        <v>0</v>
      </c>
    </row>
    <row r="29" spans="2:5" x14ac:dyDescent="0.2">
      <c r="D29" s="6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G32"/>
  <sheetViews>
    <sheetView topLeftCell="A19" workbookViewId="0">
      <selection activeCell="B27" sqref="B27:E27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 t="shared" ref="E2:E26" si="0">G$1*C2</f>
        <v>150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si="0"/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150</v>
      </c>
      <c r="D7" s="5">
        <f>C7*'Valores y Totales'!C7</f>
        <v>210</v>
      </c>
      <c r="E7" s="2">
        <f t="shared" si="0"/>
        <v>150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250</v>
      </c>
      <c r="D13" s="5">
        <f>C13*'Valores y Totales'!C13</f>
        <v>525</v>
      </c>
      <c r="E13" s="2">
        <f t="shared" si="0"/>
        <v>250</v>
      </c>
    </row>
    <row r="14" spans="2:7" x14ac:dyDescent="0.2">
      <c r="B14" s="2" t="s">
        <v>17</v>
      </c>
      <c r="C14" s="2">
        <v>2</v>
      </c>
      <c r="D14" s="5">
        <f>C14*'Valores y Totales'!C14</f>
        <v>1000</v>
      </c>
      <c r="E14" s="2">
        <f t="shared" si="0"/>
        <v>2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50</v>
      </c>
      <c r="D17" s="5">
        <f>C17*'Valores y Totales'!C17</f>
        <v>125</v>
      </c>
      <c r="E17" s="2">
        <f t="shared" si="0"/>
        <v>50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5" x14ac:dyDescent="0.2">
      <c r="B27" s="2" t="s">
        <v>125</v>
      </c>
      <c r="C27" s="2">
        <v>2</v>
      </c>
      <c r="D27" s="5">
        <f>C27*'Valores y Totales'!C36</f>
        <v>20</v>
      </c>
      <c r="E27" s="2"/>
    </row>
    <row r="28" spans="2:5" x14ac:dyDescent="0.2">
      <c r="C28" s="19" t="s">
        <v>30</v>
      </c>
      <c r="D28" s="19" t="s">
        <v>31</v>
      </c>
    </row>
    <row r="29" spans="2:5" x14ac:dyDescent="0.2">
      <c r="B29" s="3" t="s">
        <v>32</v>
      </c>
      <c r="C29" s="10">
        <v>2</v>
      </c>
      <c r="D29" s="11">
        <f>C29*G$1</f>
        <v>2</v>
      </c>
    </row>
    <row r="30" spans="2:5" x14ac:dyDescent="0.2">
      <c r="B30" s="3" t="s">
        <v>33</v>
      </c>
      <c r="C30" s="13">
        <f>SUM(D2:D27)</f>
        <v>3950</v>
      </c>
      <c r="D30" s="12">
        <f>C30*G$1</f>
        <v>3950</v>
      </c>
    </row>
    <row r="31" spans="2:5" x14ac:dyDescent="0.2">
      <c r="B31" s="3"/>
      <c r="C31" s="13"/>
      <c r="D31" s="14"/>
    </row>
    <row r="32" spans="2:5" x14ac:dyDescent="0.2">
      <c r="B32" s="3" t="s">
        <v>35</v>
      </c>
      <c r="C32" s="15">
        <f>C30/C29</f>
        <v>1975</v>
      </c>
      <c r="D32" s="16">
        <f>C32</f>
        <v>1975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L32"/>
  <sheetViews>
    <sheetView topLeftCell="A10" workbookViewId="0">
      <selection activeCell="F19" sqref="F19"/>
    </sheetView>
  </sheetViews>
  <sheetFormatPr defaultColWidth="9.14453125" defaultRowHeight="15" x14ac:dyDescent="0.2"/>
  <cols>
    <col min="2" max="2" width="19.1015625" bestFit="1" customWidth="1"/>
    <col min="3" max="3" width="11.02734375" bestFit="1" customWidth="1"/>
    <col min="6" max="6" width="19.90625" bestFit="1" customWidth="1"/>
    <col min="7" max="7" width="20.84765625" bestFit="1" customWidth="1"/>
    <col min="8" max="8" width="10.89453125" bestFit="1" customWidth="1"/>
    <col min="9" max="9" width="22.59765625" bestFit="1" customWidth="1"/>
  </cols>
  <sheetData>
    <row r="1" spans="2:12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12" x14ac:dyDescent="0.2">
      <c r="B2" s="2" t="s">
        <v>57</v>
      </c>
      <c r="C2" s="1">
        <v>100</v>
      </c>
      <c r="D2" s="5">
        <f>C2*'Valores y Totales'!C41</f>
        <v>120</v>
      </c>
      <c r="E2" s="2">
        <f>G$1*C2</f>
        <v>100</v>
      </c>
    </row>
    <row r="3" spans="2:12" ht="15.75" thickBot="1" x14ac:dyDescent="0.25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  <c r="H3" s="9" t="s">
        <v>30</v>
      </c>
      <c r="I3" s="9" t="s">
        <v>31</v>
      </c>
    </row>
    <row r="4" spans="2:12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G4" s="3" t="s">
        <v>48</v>
      </c>
      <c r="H4" s="10">
        <v>1</v>
      </c>
      <c r="I4" s="11">
        <f>H4*G$1</f>
        <v>1</v>
      </c>
    </row>
    <row r="5" spans="2:12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G5" s="22" t="s">
        <v>33</v>
      </c>
      <c r="H5" s="23">
        <f>SUM(D2:D30)</f>
        <v>9002</v>
      </c>
      <c r="I5" s="24">
        <f>H5*G$1</f>
        <v>9002</v>
      </c>
    </row>
    <row r="6" spans="2:12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  <c r="G6" s="3" t="s">
        <v>34</v>
      </c>
      <c r="H6" s="13"/>
      <c r="I6" s="14">
        <f>H6</f>
        <v>0</v>
      </c>
    </row>
    <row r="7" spans="2:12" ht="15.75" thickBot="1" x14ac:dyDescent="0.25">
      <c r="B7" s="2" t="s">
        <v>10</v>
      </c>
      <c r="C7" s="2">
        <v>200</v>
      </c>
      <c r="D7" s="5">
        <f>C7*'Valores y Totales'!C7</f>
        <v>280</v>
      </c>
      <c r="E7" s="2">
        <f t="shared" si="0"/>
        <v>200</v>
      </c>
      <c r="G7" s="3" t="s">
        <v>35</v>
      </c>
      <c r="H7" s="15">
        <f>H5/H4</f>
        <v>9002</v>
      </c>
      <c r="I7" s="16">
        <f>H7</f>
        <v>9002</v>
      </c>
    </row>
    <row r="8" spans="2:12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12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12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K10">
        <v>130</v>
      </c>
      <c r="L10">
        <v>1500</v>
      </c>
    </row>
    <row r="11" spans="2:12" x14ac:dyDescent="0.2">
      <c r="B11" s="2" t="s">
        <v>14</v>
      </c>
      <c r="C11" s="2"/>
      <c r="D11" s="5">
        <f>C11*'Valores y Totales'!C11</f>
        <v>0</v>
      </c>
      <c r="E11" s="2">
        <f t="shared" si="0"/>
        <v>0</v>
      </c>
      <c r="K11">
        <f>L11*K10/L10</f>
        <v>8.6666666666666661</v>
      </c>
      <c r="L11">
        <v>100</v>
      </c>
    </row>
    <row r="12" spans="2:12" x14ac:dyDescent="0.2">
      <c r="B12" s="2" t="s">
        <v>15</v>
      </c>
      <c r="C12" s="2"/>
      <c r="D12" s="5">
        <f>C12*'Valores y Totales'!C12</f>
        <v>0</v>
      </c>
      <c r="E12" s="2">
        <f t="shared" si="0"/>
        <v>0</v>
      </c>
    </row>
    <row r="13" spans="2:12" x14ac:dyDescent="0.2">
      <c r="B13" s="2" t="s">
        <v>16</v>
      </c>
      <c r="C13" s="2">
        <v>300</v>
      </c>
      <c r="D13" s="5">
        <f>C13*'Valores y Totales'!C13</f>
        <v>630</v>
      </c>
      <c r="E13" s="2">
        <f t="shared" si="0"/>
        <v>300</v>
      </c>
    </row>
    <row r="14" spans="2:12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12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12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100</v>
      </c>
      <c r="D17" s="5">
        <f>C17*'Valores y Totales'!C17</f>
        <v>250</v>
      </c>
      <c r="E17" s="2">
        <f t="shared" si="0"/>
        <v>100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195</v>
      </c>
      <c r="C19" s="2">
        <v>2</v>
      </c>
      <c r="D19" s="5">
        <f>C19*'Valores y Totales'!C19</f>
        <v>1000</v>
      </c>
      <c r="E19" s="2">
        <f t="shared" si="0"/>
        <v>2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100</v>
      </c>
      <c r="D21" s="5">
        <f>C21*'Valores y Totales'!C21</f>
        <v>1000</v>
      </c>
      <c r="E21" s="2">
        <f t="shared" si="0"/>
        <v>100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>G$1*C25</f>
        <v>0</v>
      </c>
    </row>
    <row r="26" spans="2:5" x14ac:dyDescent="0.2">
      <c r="B26" s="2" t="s">
        <v>29</v>
      </c>
      <c r="C26" s="2">
        <v>100</v>
      </c>
      <c r="D26" s="5">
        <f>C26*'Valores y Totales'!C26</f>
        <v>800</v>
      </c>
      <c r="E26" s="2">
        <f>G$1*C26</f>
        <v>100</v>
      </c>
    </row>
    <row r="27" spans="2:5" x14ac:dyDescent="0.2">
      <c r="C27" s="18"/>
      <c r="D27" s="21"/>
    </row>
    <row r="28" spans="2:5" x14ac:dyDescent="0.2">
      <c r="C28" s="19" t="s">
        <v>30</v>
      </c>
      <c r="D28" s="19" t="s">
        <v>31</v>
      </c>
    </row>
    <row r="29" spans="2:5" x14ac:dyDescent="0.2">
      <c r="B29" s="3" t="s">
        <v>32</v>
      </c>
      <c r="C29" s="10">
        <v>2</v>
      </c>
      <c r="D29" s="11">
        <f>C29*G$1</f>
        <v>2</v>
      </c>
      <c r="E29" t="s">
        <v>56</v>
      </c>
    </row>
    <row r="30" spans="2:5" x14ac:dyDescent="0.2">
      <c r="B30" s="3" t="s">
        <v>33</v>
      </c>
      <c r="C30" s="13">
        <f>SUM(D2:D27)</f>
        <v>4500</v>
      </c>
      <c r="D30" s="12">
        <f>C30*G$1</f>
        <v>4500</v>
      </c>
    </row>
    <row r="31" spans="2:5" x14ac:dyDescent="0.2">
      <c r="B31" s="3"/>
      <c r="C31" s="13"/>
      <c r="D31" s="14"/>
    </row>
    <row r="32" spans="2:5" x14ac:dyDescent="0.2">
      <c r="B32" s="3" t="s">
        <v>35</v>
      </c>
      <c r="C32" s="15">
        <f>C30/C29</f>
        <v>2250</v>
      </c>
      <c r="D32" s="16">
        <f>C32</f>
        <v>2250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G32"/>
  <sheetViews>
    <sheetView topLeftCell="A16" workbookViewId="0">
      <selection activeCell="C26" sqref="C26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/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/>
      <c r="D3" s="5">
        <f>C3*'Valores y Totales'!C3</f>
        <v>0</v>
      </c>
      <c r="E3" s="2">
        <f t="shared" ref="E3:E21" si="0">G$1*C3</f>
        <v>0</v>
      </c>
    </row>
    <row r="4" spans="2:7" x14ac:dyDescent="0.2">
      <c r="B4" s="2" t="s">
        <v>7</v>
      </c>
      <c r="C4" s="1"/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/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/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/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/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D9" s="5">
        <v>0</v>
      </c>
      <c r="E9" s="2">
        <f>G$1*C9</f>
        <v>0</v>
      </c>
    </row>
    <row r="10" spans="2:7" x14ac:dyDescent="0.2">
      <c r="B10" s="2" t="s">
        <v>13</v>
      </c>
      <c r="C10" s="2"/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/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360</v>
      </c>
      <c r="D12" s="5">
        <f>C12*'Valores y Totales'!C12</f>
        <v>3600</v>
      </c>
      <c r="E12" s="2">
        <f t="shared" si="0"/>
        <v>360</v>
      </c>
    </row>
    <row r="13" spans="2:7" x14ac:dyDescent="0.2">
      <c r="B13" s="2" t="s">
        <v>16</v>
      </c>
      <c r="C13" s="2"/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/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/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/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/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/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/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/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196</v>
      </c>
      <c r="C21" s="2">
        <v>1000</v>
      </c>
      <c r="D21" s="5" t="e">
        <f>C21*'Valores y Totales'!#REF!</f>
        <v>#REF!</v>
      </c>
      <c r="E21" s="2">
        <f t="shared" si="0"/>
        <v>1000</v>
      </c>
    </row>
    <row r="22" spans="2:5" x14ac:dyDescent="0.2">
      <c r="B22" s="2" t="s">
        <v>25</v>
      </c>
      <c r="C22" s="2"/>
      <c r="D22" s="5">
        <f>C22*'Valores y Totales'!C22</f>
        <v>0</v>
      </c>
      <c r="E22" s="2">
        <f>G$1*C22</f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>G$1*C23</f>
        <v>0</v>
      </c>
    </row>
    <row r="24" spans="2:5" x14ac:dyDescent="0.2">
      <c r="B24" s="2" t="s">
        <v>27</v>
      </c>
      <c r="C24" s="2">
        <v>0</v>
      </c>
      <c r="D24" s="5">
        <v>0</v>
      </c>
      <c r="E24" s="2">
        <f>G$1*C24</f>
        <v>0</v>
      </c>
    </row>
    <row r="25" spans="2:5" x14ac:dyDescent="0.2">
      <c r="B25" s="2" t="s">
        <v>28</v>
      </c>
      <c r="C25" s="2">
        <v>0</v>
      </c>
      <c r="D25" s="5">
        <v>0</v>
      </c>
      <c r="E25" s="2">
        <f>G$1*C25</f>
        <v>0</v>
      </c>
    </row>
    <row r="26" spans="2:5" x14ac:dyDescent="0.2">
      <c r="B26" s="2" t="s">
        <v>29</v>
      </c>
      <c r="C26" s="2">
        <v>0</v>
      </c>
      <c r="D26" s="5">
        <v>0</v>
      </c>
      <c r="E26" s="2">
        <f>G$1*C26</f>
        <v>0</v>
      </c>
    </row>
    <row r="27" spans="2:5" x14ac:dyDescent="0.2">
      <c r="C27" s="18"/>
      <c r="D27" s="21"/>
    </row>
    <row r="28" spans="2:5" x14ac:dyDescent="0.2">
      <c r="C28" s="19" t="s">
        <v>30</v>
      </c>
      <c r="D28" s="19" t="s">
        <v>31</v>
      </c>
    </row>
    <row r="29" spans="2:5" x14ac:dyDescent="0.2">
      <c r="B29" s="3" t="s">
        <v>48</v>
      </c>
      <c r="C29" s="10">
        <v>1</v>
      </c>
      <c r="D29" s="11">
        <v>1</v>
      </c>
    </row>
    <row r="30" spans="2:5" x14ac:dyDescent="0.2">
      <c r="B30" s="3" t="s">
        <v>33</v>
      </c>
      <c r="C30" s="13" t="e">
        <f>SUM(D2:D22)</f>
        <v>#REF!</v>
      </c>
      <c r="D30" s="12" t="e">
        <f>C30*G$1</f>
        <v>#REF!</v>
      </c>
    </row>
    <row r="31" spans="2:5" x14ac:dyDescent="0.2">
      <c r="B31" s="3" t="s">
        <v>34</v>
      </c>
      <c r="C31" s="13">
        <v>0</v>
      </c>
      <c r="D31" s="14">
        <f>C31</f>
        <v>0</v>
      </c>
    </row>
    <row r="32" spans="2:5" x14ac:dyDescent="0.2">
      <c r="B32" s="3" t="s">
        <v>35</v>
      </c>
      <c r="C32" s="15" t="e">
        <f>C30/C29</f>
        <v>#REF!</v>
      </c>
      <c r="D32" s="16" t="e">
        <f>C32</f>
        <v>#REF!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J33"/>
  <sheetViews>
    <sheetView topLeftCell="A15" workbookViewId="0">
      <selection activeCell="D31" sqref="D31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10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10" x14ac:dyDescent="0.2">
      <c r="B2" s="2" t="s">
        <v>5</v>
      </c>
      <c r="C2" s="1">
        <v>125</v>
      </c>
      <c r="D2" s="5">
        <f>C2*'Valores y Totales'!C2</f>
        <v>1375</v>
      </c>
      <c r="E2" s="2">
        <f>G$1*C2</f>
        <v>125</v>
      </c>
      <c r="I2" s="2"/>
      <c r="J2" s="1"/>
    </row>
    <row r="3" spans="2:10" x14ac:dyDescent="0.2">
      <c r="B3" s="2" t="s">
        <v>6</v>
      </c>
      <c r="C3" s="1">
        <v>125</v>
      </c>
      <c r="D3" s="5">
        <f>C3*'Valores y Totales'!C3</f>
        <v>137.5</v>
      </c>
      <c r="E3" s="2">
        <f t="shared" ref="E3:E21" si="0">G$1*C3</f>
        <v>125</v>
      </c>
      <c r="I3" s="2"/>
      <c r="J3" s="1"/>
    </row>
    <row r="4" spans="2:10" x14ac:dyDescent="0.2">
      <c r="B4" s="2" t="s">
        <v>7</v>
      </c>
      <c r="C4" s="1"/>
      <c r="D4" s="5">
        <f>C4*'Valores y Totales'!C4</f>
        <v>0</v>
      </c>
      <c r="E4" s="2">
        <f t="shared" si="0"/>
        <v>0</v>
      </c>
      <c r="I4" s="2"/>
      <c r="J4" s="1"/>
    </row>
    <row r="5" spans="2:10" x14ac:dyDescent="0.2">
      <c r="B5" s="2" t="s">
        <v>8</v>
      </c>
      <c r="C5" s="1"/>
      <c r="D5" s="5">
        <f>C5*'Valores y Totales'!C5</f>
        <v>0</v>
      </c>
      <c r="E5" s="2">
        <f t="shared" si="0"/>
        <v>0</v>
      </c>
      <c r="I5" s="2"/>
      <c r="J5" s="1"/>
    </row>
    <row r="6" spans="2:10" x14ac:dyDescent="0.2">
      <c r="B6" s="1" t="s">
        <v>9</v>
      </c>
      <c r="C6" s="1">
        <v>2.5</v>
      </c>
      <c r="D6" s="5">
        <f>C6*'Valores y Totales'!B6</f>
        <v>525</v>
      </c>
      <c r="E6" s="2">
        <f t="shared" si="0"/>
        <v>2.5</v>
      </c>
      <c r="I6" s="1"/>
      <c r="J6" s="1"/>
    </row>
    <row r="7" spans="2:10" x14ac:dyDescent="0.2">
      <c r="B7" s="2" t="s">
        <v>10</v>
      </c>
      <c r="C7" s="2">
        <v>125</v>
      </c>
      <c r="D7" s="5">
        <f>C7*'Valores y Totales'!C7</f>
        <v>175</v>
      </c>
      <c r="E7" s="2">
        <f t="shared" si="0"/>
        <v>125</v>
      </c>
      <c r="I7" s="2"/>
      <c r="J7" s="2"/>
    </row>
    <row r="8" spans="2:10" x14ac:dyDescent="0.2">
      <c r="B8" s="2" t="s">
        <v>11</v>
      </c>
      <c r="C8" s="2"/>
      <c r="D8" s="5">
        <f>C8*'Valores y Totales'!C8</f>
        <v>0</v>
      </c>
      <c r="E8" s="2">
        <f t="shared" si="0"/>
        <v>0</v>
      </c>
      <c r="I8" s="2"/>
      <c r="J8" s="2"/>
    </row>
    <row r="9" spans="2:10" x14ac:dyDescent="0.2">
      <c r="B9" s="2" t="s">
        <v>12</v>
      </c>
      <c r="D9" s="5">
        <v>0</v>
      </c>
      <c r="E9" s="2">
        <f>G$1*C9</f>
        <v>0</v>
      </c>
      <c r="I9" s="2"/>
      <c r="J9" s="2"/>
    </row>
    <row r="10" spans="2:10" x14ac:dyDescent="0.2">
      <c r="B10" s="2" t="s">
        <v>13</v>
      </c>
      <c r="C10" s="2"/>
      <c r="D10" s="5">
        <f>C10*'Valores y Totales'!C10</f>
        <v>0</v>
      </c>
      <c r="E10" s="2">
        <f t="shared" si="0"/>
        <v>0</v>
      </c>
      <c r="I10" s="2"/>
      <c r="J10" s="2"/>
    </row>
    <row r="11" spans="2:10" x14ac:dyDescent="0.2">
      <c r="B11" s="2" t="s">
        <v>14</v>
      </c>
      <c r="C11" s="2">
        <v>220</v>
      </c>
      <c r="D11" s="5">
        <f>C11*'Valores y Totales'!C11</f>
        <v>1100</v>
      </c>
      <c r="E11" s="2">
        <f t="shared" si="0"/>
        <v>220</v>
      </c>
      <c r="I11" s="2"/>
      <c r="J11" s="2"/>
    </row>
    <row r="12" spans="2:10" x14ac:dyDescent="0.2">
      <c r="B12" s="2" t="s">
        <v>15</v>
      </c>
      <c r="C12" s="2"/>
      <c r="D12" s="5">
        <f>C12*'Valores y Totales'!C12</f>
        <v>0</v>
      </c>
      <c r="E12" s="2">
        <f t="shared" si="0"/>
        <v>0</v>
      </c>
      <c r="I12" s="2"/>
      <c r="J12" s="2"/>
    </row>
    <row r="13" spans="2:10" x14ac:dyDescent="0.2">
      <c r="B13" s="2" t="s">
        <v>16</v>
      </c>
      <c r="C13" s="2"/>
      <c r="D13" s="5">
        <f>C13*'Valores y Totales'!C13</f>
        <v>0</v>
      </c>
      <c r="E13" s="2">
        <f t="shared" si="0"/>
        <v>0</v>
      </c>
      <c r="I13" s="2"/>
      <c r="J13" s="2"/>
    </row>
    <row r="14" spans="2:10" x14ac:dyDescent="0.2">
      <c r="B14" s="2" t="s">
        <v>17</v>
      </c>
      <c r="C14" s="2"/>
      <c r="D14" s="5">
        <f>C14*'Valores y Totales'!C14</f>
        <v>0</v>
      </c>
      <c r="E14" s="2">
        <f t="shared" si="0"/>
        <v>0</v>
      </c>
      <c r="I14" s="2"/>
      <c r="J14" s="2"/>
    </row>
    <row r="15" spans="2:10" x14ac:dyDescent="0.2">
      <c r="B15" s="2" t="s">
        <v>18</v>
      </c>
      <c r="C15" s="2"/>
      <c r="D15" s="5">
        <f>C15*'Valores y Totales'!C15</f>
        <v>0</v>
      </c>
      <c r="E15" s="2">
        <f t="shared" si="0"/>
        <v>0</v>
      </c>
      <c r="I15" s="2"/>
      <c r="J15" s="2"/>
    </row>
    <row r="16" spans="2:10" x14ac:dyDescent="0.2">
      <c r="B16" s="2" t="s">
        <v>19</v>
      </c>
      <c r="C16" s="2">
        <v>5</v>
      </c>
      <c r="D16" s="5">
        <f>C16*'Valores y Totales'!C16</f>
        <v>20</v>
      </c>
      <c r="E16" s="2">
        <f t="shared" si="0"/>
        <v>5</v>
      </c>
      <c r="I16" s="2"/>
      <c r="J16" s="2"/>
    </row>
    <row r="17" spans="2:10" x14ac:dyDescent="0.2">
      <c r="B17" s="2" t="s">
        <v>20</v>
      </c>
      <c r="C17" s="2"/>
      <c r="D17" s="5">
        <f>C17*'Valores y Totales'!C17</f>
        <v>0</v>
      </c>
      <c r="E17" s="2">
        <f t="shared" si="0"/>
        <v>0</v>
      </c>
      <c r="I17" s="2"/>
      <c r="J17" s="2"/>
    </row>
    <row r="18" spans="2:10" x14ac:dyDescent="0.2">
      <c r="B18" s="2" t="s">
        <v>21</v>
      </c>
      <c r="C18" s="2"/>
      <c r="D18" s="5">
        <f>C18*'Valores y Totales'!C18</f>
        <v>0</v>
      </c>
      <c r="E18" s="2">
        <f t="shared" si="0"/>
        <v>0</v>
      </c>
      <c r="I18" s="2"/>
      <c r="J18" s="2"/>
    </row>
    <row r="19" spans="2:10" x14ac:dyDescent="0.2">
      <c r="B19" s="2" t="s">
        <v>22</v>
      </c>
      <c r="C19" s="2"/>
      <c r="D19" s="5">
        <f>C19*'Valores y Totales'!C19</f>
        <v>0</v>
      </c>
      <c r="E19" s="2">
        <f t="shared" si="0"/>
        <v>0</v>
      </c>
      <c r="I19" s="2"/>
      <c r="J19" s="2"/>
    </row>
    <row r="20" spans="2:10" x14ac:dyDescent="0.2">
      <c r="B20" s="2" t="s">
        <v>23</v>
      </c>
      <c r="C20" s="2"/>
      <c r="D20" s="5">
        <f>C20*'Valores y Totales'!C20</f>
        <v>0</v>
      </c>
      <c r="E20" s="2">
        <f t="shared" si="0"/>
        <v>0</v>
      </c>
      <c r="I20" s="2"/>
      <c r="J20" s="2"/>
    </row>
    <row r="21" spans="2:10" x14ac:dyDescent="0.2">
      <c r="B21" s="2" t="s">
        <v>24</v>
      </c>
      <c r="C21" s="2">
        <v>300</v>
      </c>
      <c r="D21" s="5">
        <f>C21*'Valores y Totales'!C21</f>
        <v>3000</v>
      </c>
      <c r="E21" s="2">
        <f t="shared" si="0"/>
        <v>300</v>
      </c>
      <c r="I21" s="2"/>
      <c r="J21" s="2"/>
    </row>
    <row r="22" spans="2:10" x14ac:dyDescent="0.2">
      <c r="B22" s="2" t="s">
        <v>25</v>
      </c>
      <c r="C22" s="2">
        <v>0</v>
      </c>
      <c r="D22" s="5">
        <f>C22*'Valores y Totales'!C22</f>
        <v>0</v>
      </c>
      <c r="E22" s="2">
        <f>G$1*C22</f>
        <v>0</v>
      </c>
      <c r="I22" s="2"/>
      <c r="J22" s="2"/>
    </row>
    <row r="23" spans="2:10" x14ac:dyDescent="0.2">
      <c r="B23" s="2" t="s">
        <v>26</v>
      </c>
      <c r="C23" s="2">
        <v>0</v>
      </c>
      <c r="D23" s="5">
        <f>C23*'Valores y Totales'!C23</f>
        <v>0</v>
      </c>
      <c r="E23" s="2">
        <f>G$1*C23</f>
        <v>0</v>
      </c>
      <c r="I23" s="2"/>
      <c r="J23" s="2"/>
    </row>
    <row r="24" spans="2:10" x14ac:dyDescent="0.2">
      <c r="B24" s="2" t="s">
        <v>27</v>
      </c>
      <c r="C24" s="2">
        <v>0</v>
      </c>
      <c r="D24" s="5">
        <v>0</v>
      </c>
      <c r="E24" s="2">
        <f>G$1*C24</f>
        <v>0</v>
      </c>
      <c r="I24" s="2"/>
      <c r="J24" s="2"/>
    </row>
    <row r="25" spans="2:10" x14ac:dyDescent="0.2">
      <c r="B25" s="2" t="s">
        <v>28</v>
      </c>
      <c r="C25" s="2">
        <v>0</v>
      </c>
      <c r="D25" s="5">
        <v>0</v>
      </c>
      <c r="E25" s="2">
        <f>G$1*C25</f>
        <v>0</v>
      </c>
      <c r="I25" s="2"/>
      <c r="J25" s="2"/>
    </row>
    <row r="26" spans="2:10" x14ac:dyDescent="0.2">
      <c r="B26" s="2" t="s">
        <v>29</v>
      </c>
      <c r="C26" s="2">
        <v>0</v>
      </c>
      <c r="D26" s="5">
        <v>0</v>
      </c>
      <c r="E26" s="2">
        <f>G$1*C26</f>
        <v>0</v>
      </c>
      <c r="I26" s="2"/>
      <c r="J26" s="2"/>
    </row>
    <row r="27" spans="2:10" x14ac:dyDescent="0.2">
      <c r="B27" s="2" t="s">
        <v>109</v>
      </c>
      <c r="C27" s="2">
        <v>0</v>
      </c>
      <c r="D27" s="5">
        <f>Precios!F26/1300*C27</f>
        <v>0</v>
      </c>
      <c r="E27" s="2"/>
    </row>
    <row r="28" spans="2:10" x14ac:dyDescent="0.2">
      <c r="B28" s="2" t="s">
        <v>181</v>
      </c>
      <c r="C28" s="2">
        <v>36</v>
      </c>
      <c r="D28" s="5">
        <f>C28*'Valores y Totales'!B37</f>
        <v>180</v>
      </c>
      <c r="E28" s="2"/>
    </row>
    <row r="29" spans="2:10" ht="15.75" thickBot="1" x14ac:dyDescent="0.25">
      <c r="C29" s="19" t="s">
        <v>30</v>
      </c>
      <c r="D29" s="19" t="s">
        <v>31</v>
      </c>
    </row>
    <row r="30" spans="2:10" x14ac:dyDescent="0.2">
      <c r="B30" s="3" t="s">
        <v>48</v>
      </c>
      <c r="C30" s="10">
        <v>36</v>
      </c>
      <c r="D30" s="11">
        <f>C30*G$1</f>
        <v>36</v>
      </c>
      <c r="E30" t="s">
        <v>197</v>
      </c>
    </row>
    <row r="31" spans="2:10" x14ac:dyDescent="0.2">
      <c r="B31" s="3" t="s">
        <v>33</v>
      </c>
      <c r="C31" s="13">
        <f>SUM(D2:D28)</f>
        <v>6512.5</v>
      </c>
      <c r="D31" s="12">
        <f>C31*G$1</f>
        <v>6512.5</v>
      </c>
    </row>
    <row r="32" spans="2:10" x14ac:dyDescent="0.2">
      <c r="B32" s="3" t="s">
        <v>34</v>
      </c>
      <c r="C32" s="13">
        <f>C31/C30*12</f>
        <v>2170.833333333333</v>
      </c>
      <c r="D32" s="14">
        <f>C32</f>
        <v>2170.833333333333</v>
      </c>
    </row>
    <row r="33" spans="2:4" ht="15.75" thickBot="1" x14ac:dyDescent="0.25">
      <c r="B33" s="3" t="s">
        <v>35</v>
      </c>
      <c r="C33" s="15">
        <f>C31/C30</f>
        <v>180.90277777777777</v>
      </c>
      <c r="D33" s="16">
        <f>C33</f>
        <v>180.90277777777777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G32"/>
  <sheetViews>
    <sheetView topLeftCell="A13" workbookViewId="0">
      <selection activeCell="A22" sqref="A2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2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1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>
        <v>0</v>
      </c>
      <c r="D9" s="5">
        <v>0</v>
      </c>
      <c r="E9" s="2"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>G$1*C22</f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>G$1*C23</f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>G$1*C24</f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>G$1*C25</f>
        <v>0</v>
      </c>
    </row>
    <row r="26" spans="2:5" ht="16.5" customHeight="1" x14ac:dyDescent="0.2">
      <c r="B26" s="2" t="s">
        <v>29</v>
      </c>
      <c r="C26" s="2">
        <v>0</v>
      </c>
      <c r="D26" s="5">
        <f>C26*'Valores y Totales'!C26</f>
        <v>0</v>
      </c>
      <c r="E26" s="2">
        <f>G$1*C26</f>
        <v>0</v>
      </c>
    </row>
    <row r="27" spans="2:5" x14ac:dyDescent="0.2">
      <c r="C27" s="18"/>
      <c r="D27" s="21"/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48</v>
      </c>
      <c r="C29" s="10">
        <v>70</v>
      </c>
      <c r="D29" s="11">
        <f>C29*G$1</f>
        <v>140</v>
      </c>
    </row>
    <row r="30" spans="2:5" x14ac:dyDescent="0.2">
      <c r="B30" s="3" t="s">
        <v>33</v>
      </c>
      <c r="C30" s="13">
        <f>SUM(D2:D21)</f>
        <v>0</v>
      </c>
      <c r="D30" s="12">
        <f>C30*G$1</f>
        <v>0</v>
      </c>
    </row>
    <row r="31" spans="2:5" x14ac:dyDescent="0.2">
      <c r="B31" s="3" t="s">
        <v>34</v>
      </c>
      <c r="C31" s="13">
        <f>C30/C29*12</f>
        <v>0</v>
      </c>
      <c r="D31" s="14">
        <f>C31</f>
        <v>0</v>
      </c>
    </row>
    <row r="32" spans="2:5" ht="15.75" thickBot="1" x14ac:dyDescent="0.25">
      <c r="B32" s="3" t="s">
        <v>35</v>
      </c>
      <c r="C32" s="15">
        <f>C30/C29</f>
        <v>0</v>
      </c>
      <c r="D32" s="16">
        <f>C32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G32"/>
  <sheetViews>
    <sheetView topLeftCell="A21" workbookViewId="0">
      <selection activeCell="A22" sqref="A2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0</v>
      </c>
    </row>
    <row r="2" spans="2:7" x14ac:dyDescent="0.2">
      <c r="B2" s="2" t="s">
        <v>5</v>
      </c>
      <c r="C2" s="1">
        <v>125</v>
      </c>
      <c r="D2" s="5">
        <f>C2*'Valores y Totales'!C2</f>
        <v>1375</v>
      </c>
      <c r="E2" s="2">
        <f>G$1*C2</f>
        <v>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0" si="0">G$1*C3</f>
        <v>0</v>
      </c>
    </row>
    <row r="4" spans="2:7" x14ac:dyDescent="0.2">
      <c r="B4" s="2" t="s">
        <v>7</v>
      </c>
      <c r="C4" s="1">
        <v>125</v>
      </c>
      <c r="D4" s="5">
        <f>C4*'Valores y Totales'!C4</f>
        <v>187.5</v>
      </c>
      <c r="E4" s="2">
        <f t="shared" si="0"/>
        <v>0</v>
      </c>
    </row>
    <row r="5" spans="2:7" x14ac:dyDescent="0.2">
      <c r="B5" s="2" t="s">
        <v>8</v>
      </c>
      <c r="C5" s="1">
        <v>10</v>
      </c>
      <c r="D5" s="5">
        <f>C5*'Valores y Totales'!C5</f>
        <v>250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200</v>
      </c>
      <c r="D9" s="5">
        <f>C9*'Valores y Totales'!C9</f>
        <v>5200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375</v>
      </c>
      <c r="D12" s="5">
        <f>C12*'Valores y Totales'!C12</f>
        <v>3750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125</v>
      </c>
      <c r="D17" s="5">
        <f>C17*'Valores y Totales'!C17</f>
        <v>312.5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1</v>
      </c>
      <c r="D19" s="5">
        <f>C19*'Valores y Totales'!C19</f>
        <v>500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>G$1*C21</f>
        <v>0</v>
      </c>
    </row>
    <row r="22" spans="2:5" x14ac:dyDescent="0.2">
      <c r="B22" s="2" t="s">
        <v>25</v>
      </c>
      <c r="C22" s="2">
        <v>0</v>
      </c>
      <c r="D22" s="5">
        <v>0</v>
      </c>
      <c r="E22" s="2"/>
    </row>
    <row r="23" spans="2:5" x14ac:dyDescent="0.2">
      <c r="B23" s="2" t="s">
        <v>26</v>
      </c>
      <c r="C23" s="2">
        <v>0</v>
      </c>
      <c r="D23" s="5">
        <v>0</v>
      </c>
      <c r="E23" s="2"/>
    </row>
    <row r="24" spans="2:5" x14ac:dyDescent="0.2">
      <c r="B24" s="2" t="s">
        <v>27</v>
      </c>
      <c r="C24" s="2">
        <v>0</v>
      </c>
      <c r="D24" s="5">
        <v>0</v>
      </c>
      <c r="E24" s="2"/>
    </row>
    <row r="25" spans="2:5" x14ac:dyDescent="0.2">
      <c r="B25" s="2" t="s">
        <v>28</v>
      </c>
      <c r="C25" s="2">
        <v>0</v>
      </c>
      <c r="D25" s="5">
        <v>0</v>
      </c>
      <c r="E25" s="2"/>
    </row>
    <row r="26" spans="2:5" x14ac:dyDescent="0.2">
      <c r="B26" s="2" t="s">
        <v>29</v>
      </c>
      <c r="C26" s="2">
        <v>0</v>
      </c>
      <c r="D26" s="5">
        <v>0</v>
      </c>
      <c r="E26" s="2"/>
    </row>
    <row r="27" spans="2:5" x14ac:dyDescent="0.2">
      <c r="C27" s="18"/>
      <c r="D27" s="20"/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32</v>
      </c>
      <c r="C29" s="10">
        <v>50</v>
      </c>
      <c r="D29" s="11">
        <f>C29*G$1</f>
        <v>0</v>
      </c>
    </row>
    <row r="30" spans="2:5" x14ac:dyDescent="0.2">
      <c r="B30" s="3" t="s">
        <v>33</v>
      </c>
      <c r="C30" s="13">
        <f>SUM(D2:D21)</f>
        <v>12480</v>
      </c>
      <c r="D30" s="12">
        <f>C30*G$1</f>
        <v>0</v>
      </c>
    </row>
    <row r="31" spans="2:5" x14ac:dyDescent="0.2">
      <c r="B31" s="3" t="s">
        <v>34</v>
      </c>
      <c r="C31" s="13">
        <f>C30/C29*12</f>
        <v>2995.2</v>
      </c>
      <c r="D31" s="14">
        <f>C31</f>
        <v>2995.2</v>
      </c>
    </row>
    <row r="32" spans="2:5" ht="15.75" thickBot="1" x14ac:dyDescent="0.25">
      <c r="B32" s="3" t="s">
        <v>35</v>
      </c>
      <c r="C32" s="15">
        <f>C30/C29</f>
        <v>249.6</v>
      </c>
      <c r="D32" s="16">
        <f>C32</f>
        <v>249.6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G32"/>
  <sheetViews>
    <sheetView topLeftCell="A9" workbookViewId="0">
      <selection activeCell="C32" sqref="C3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130</v>
      </c>
      <c r="D2" s="5">
        <f>C2*'Valores y Totales'!C2</f>
        <v>1430</v>
      </c>
      <c r="E2" s="2">
        <f>G$1*C2</f>
        <v>130</v>
      </c>
    </row>
    <row r="3" spans="2:7" x14ac:dyDescent="0.2">
      <c r="B3" s="2" t="s">
        <v>6</v>
      </c>
      <c r="C3" s="1">
        <v>175</v>
      </c>
      <c r="D3" s="5">
        <f>C3*'Valores y Totales'!C3</f>
        <v>192.50000000000003</v>
      </c>
      <c r="E3" s="2">
        <f t="shared" ref="E3:E20" si="0">G$1*C3</f>
        <v>175</v>
      </c>
    </row>
    <row r="4" spans="2:7" x14ac:dyDescent="0.2">
      <c r="B4" s="2" t="s">
        <v>7</v>
      </c>
      <c r="C4" s="1">
        <v>300</v>
      </c>
      <c r="D4" s="5">
        <f>C4*'Valores y Totales'!C4</f>
        <v>450</v>
      </c>
      <c r="E4" s="2">
        <f t="shared" si="0"/>
        <v>300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225</v>
      </c>
      <c r="D7" s="5">
        <f>C7*'Valores y Totales'!C7</f>
        <v>315</v>
      </c>
      <c r="E7" s="2">
        <f t="shared" si="0"/>
        <v>225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2</v>
      </c>
      <c r="D14" s="5">
        <f>C14*'Valores y Totales'!C14</f>
        <v>1000</v>
      </c>
      <c r="E14" s="2">
        <f t="shared" si="0"/>
        <v>2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7</v>
      </c>
      <c r="D16" s="5">
        <f>C16*'Valores y Totales'!C16</f>
        <v>28</v>
      </c>
      <c r="E16" s="2">
        <f t="shared" si="0"/>
        <v>7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ref="E21:E26" si="1">G$1*C21</f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1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1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1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1"/>
        <v>0</v>
      </c>
    </row>
    <row r="26" spans="2:5" x14ac:dyDescent="0.2">
      <c r="B26" s="2" t="s">
        <v>182</v>
      </c>
      <c r="C26" s="2">
        <v>90</v>
      </c>
      <c r="D26" s="5">
        <f>C26*'Valores y Totales'!C38</f>
        <v>810</v>
      </c>
      <c r="E26" s="2">
        <f t="shared" si="1"/>
        <v>90</v>
      </c>
    </row>
    <row r="27" spans="2:5" x14ac:dyDescent="0.2">
      <c r="D27" s="6"/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32</v>
      </c>
      <c r="C29" s="10">
        <v>30</v>
      </c>
      <c r="D29" s="11">
        <f>C29*G$1</f>
        <v>30</v>
      </c>
    </row>
    <row r="30" spans="2:5" x14ac:dyDescent="0.2">
      <c r="B30" s="3" t="s">
        <v>33</v>
      </c>
      <c r="C30" s="13">
        <f>SUM(D2:D26)</f>
        <v>4855.5</v>
      </c>
      <c r="D30" s="12">
        <f>C30*G$1</f>
        <v>4855.5</v>
      </c>
    </row>
    <row r="31" spans="2:5" x14ac:dyDescent="0.2">
      <c r="B31" s="3" t="s">
        <v>34</v>
      </c>
      <c r="C31" s="13">
        <f>C30/C29*12</f>
        <v>1942.1999999999998</v>
      </c>
      <c r="D31" s="14">
        <f>C31</f>
        <v>1942.1999999999998</v>
      </c>
    </row>
    <row r="32" spans="2:5" ht="15.75" thickBot="1" x14ac:dyDescent="0.25">
      <c r="B32" s="3" t="s">
        <v>35</v>
      </c>
      <c r="C32" s="15">
        <f>C30/C29</f>
        <v>161.85</v>
      </c>
      <c r="D32" s="16">
        <f>C32</f>
        <v>161.85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EE6F-478F-4BF7-9CC7-182F3A9C1617}">
  <dimension ref="B1:G32"/>
  <sheetViews>
    <sheetView workbookViewId="0">
      <selection activeCell="F32" sqref="F3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120</v>
      </c>
      <c r="D2" s="5">
        <f>C2*'Valores y Totales'!C2</f>
        <v>1320</v>
      </c>
      <c r="E2" s="2">
        <f>G$1*C2</f>
        <v>120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</row>
    <row r="4" spans="2:7" x14ac:dyDescent="0.2">
      <c r="B4" s="2" t="s">
        <v>7</v>
      </c>
      <c r="C4" s="1">
        <v>270</v>
      </c>
      <c r="D4" s="5">
        <f>C4*'Valores y Totales'!C4</f>
        <v>405</v>
      </c>
      <c r="E4" s="2">
        <f t="shared" si="0"/>
        <v>270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130</v>
      </c>
      <c r="D13" s="5">
        <f>C13*'Valores y Totales'!C13</f>
        <v>273</v>
      </c>
      <c r="E13" s="2">
        <f t="shared" si="0"/>
        <v>130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198</v>
      </c>
      <c r="C25" s="2">
        <v>0</v>
      </c>
      <c r="D25" s="5">
        <f>'Valores y Totales'!C40*C25</f>
        <v>0</v>
      </c>
      <c r="E25" s="2">
        <f>G$1*C25</f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>G$1*C26</f>
        <v>0</v>
      </c>
    </row>
    <row r="27" spans="2:5" x14ac:dyDescent="0.2">
      <c r="B27" s="2" t="s">
        <v>190</v>
      </c>
      <c r="C27" s="2">
        <v>100</v>
      </c>
      <c r="D27" s="5">
        <f>C27*'Valores y Totales'!C50</f>
        <v>332.5</v>
      </c>
      <c r="E27" s="2">
        <f>G$1*C27</f>
        <v>100</v>
      </c>
    </row>
    <row r="28" spans="2:5" x14ac:dyDescent="0.2">
      <c r="C28" s="19" t="s">
        <v>30</v>
      </c>
      <c r="D28" s="19" t="s">
        <v>31</v>
      </c>
    </row>
    <row r="29" spans="2:5" x14ac:dyDescent="0.2">
      <c r="B29" s="3" t="s">
        <v>48</v>
      </c>
      <c r="C29" s="10">
        <v>1</v>
      </c>
      <c r="D29" s="11">
        <v>1</v>
      </c>
    </row>
    <row r="30" spans="2:5" x14ac:dyDescent="0.2">
      <c r="B30" s="3" t="s">
        <v>33</v>
      </c>
      <c r="C30" s="13">
        <f>SUM(D2:D27)</f>
        <v>3250.5</v>
      </c>
      <c r="D30" s="12">
        <f>C30*G$1</f>
        <v>3250.5</v>
      </c>
    </row>
    <row r="31" spans="2:5" x14ac:dyDescent="0.2">
      <c r="B31" s="3" t="s">
        <v>34</v>
      </c>
      <c r="C31" s="13">
        <v>0</v>
      </c>
      <c r="D31" s="14">
        <f>C31</f>
        <v>0</v>
      </c>
    </row>
    <row r="32" spans="2:5" x14ac:dyDescent="0.2">
      <c r="B32" s="3" t="s">
        <v>35</v>
      </c>
      <c r="C32" s="15">
        <f>C30/C29</f>
        <v>3250.5</v>
      </c>
      <c r="D32" s="16">
        <f>C32</f>
        <v>3250.5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1:G32"/>
  <sheetViews>
    <sheetView topLeftCell="A10" workbookViewId="0">
      <selection activeCell="M22" sqref="M22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4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100</v>
      </c>
      <c r="D10" s="5">
        <f>C10*'Valores y Totales'!C10</f>
        <v>2200</v>
      </c>
      <c r="E10" s="2">
        <f t="shared" si="0"/>
        <v>100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400</v>
      </c>
      <c r="D13" s="5">
        <f>C13*'Valores y Totales'!C13</f>
        <v>840</v>
      </c>
      <c r="E13" s="2">
        <f t="shared" si="0"/>
        <v>400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100</v>
      </c>
      <c r="D18" s="5">
        <f>C18*'Valores y Totales'!C18</f>
        <v>1333.3333333333335</v>
      </c>
      <c r="E18" s="2">
        <f t="shared" si="0"/>
        <v>100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200</v>
      </c>
      <c r="D20" s="5">
        <f>C20*'Valores y Totales'!C20</f>
        <v>459.99999999999994</v>
      </c>
      <c r="E20" s="2">
        <f t="shared" si="0"/>
        <v>200</v>
      </c>
    </row>
    <row r="21" spans="2:5" x14ac:dyDescent="0.2">
      <c r="B21" s="2" t="s">
        <v>24</v>
      </c>
      <c r="C21" s="2">
        <v>100</v>
      </c>
      <c r="D21" s="5">
        <f>C21*'Valores y Totales'!C21</f>
        <v>1000</v>
      </c>
      <c r="E21" s="2">
        <f t="shared" si="0"/>
        <v>100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100</v>
      </c>
      <c r="D23" s="5">
        <f>C23*'Valores y Totales'!C23</f>
        <v>680.7</v>
      </c>
      <c r="E23" s="2">
        <f t="shared" si="0"/>
        <v>100</v>
      </c>
    </row>
    <row r="24" spans="2:5" x14ac:dyDescent="0.2">
      <c r="B24" s="2" t="s">
        <v>27</v>
      </c>
      <c r="C24" s="2">
        <v>100</v>
      </c>
      <c r="D24" s="5">
        <f>C24*'Valores y Totales'!C24</f>
        <v>482.09999999999997</v>
      </c>
      <c r="E24" s="2">
        <f t="shared" si="0"/>
        <v>100</v>
      </c>
    </row>
    <row r="25" spans="2:5" x14ac:dyDescent="0.2">
      <c r="B25" s="2" t="s">
        <v>198</v>
      </c>
      <c r="C25" s="2">
        <v>0</v>
      </c>
      <c r="D25" s="5">
        <f>'Valores y Totales'!C40*C25</f>
        <v>0</v>
      </c>
      <c r="E25" s="2">
        <f>G$1*C25</f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>G$1*C26</f>
        <v>0</v>
      </c>
    </row>
    <row r="27" spans="2:5" x14ac:dyDescent="0.2">
      <c r="C27" s="18"/>
      <c r="D27" s="21"/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48</v>
      </c>
      <c r="C29" s="10">
        <v>2</v>
      </c>
      <c r="D29" s="11">
        <f>C29*G$1</f>
        <v>2</v>
      </c>
    </row>
    <row r="30" spans="2:5" x14ac:dyDescent="0.2">
      <c r="B30" s="3" t="s">
        <v>33</v>
      </c>
      <c r="C30" s="13">
        <f>SUM(D2:D27)</f>
        <v>9616.133333333335</v>
      </c>
      <c r="D30" s="12">
        <f>C30*G$1</f>
        <v>9616.133333333335</v>
      </c>
    </row>
    <row r="31" spans="2:5" x14ac:dyDescent="0.2">
      <c r="B31" s="3" t="s">
        <v>34</v>
      </c>
      <c r="C31" s="13">
        <v>0</v>
      </c>
      <c r="D31" s="14">
        <f>C31</f>
        <v>0</v>
      </c>
    </row>
    <row r="32" spans="2:5" ht="15.75" thickBot="1" x14ac:dyDescent="0.25">
      <c r="B32" s="3" t="s">
        <v>35</v>
      </c>
      <c r="C32" s="15">
        <f>C30/C29</f>
        <v>4808.0666666666675</v>
      </c>
      <c r="D32" s="16">
        <f>C32</f>
        <v>4808.0666666666675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B1:G32"/>
  <sheetViews>
    <sheetView topLeftCell="A16" workbookViewId="0">
      <selection activeCell="C29" sqref="C29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60</v>
      </c>
      <c r="D2" s="5">
        <f>C2*'Valores y Totales'!C2</f>
        <v>660</v>
      </c>
      <c r="E2" s="2">
        <f>G$1*C2</f>
        <v>60</v>
      </c>
    </row>
    <row r="3" spans="2:7" x14ac:dyDescent="0.2">
      <c r="B3" s="2" t="s">
        <v>6</v>
      </c>
      <c r="C3" s="1">
        <v>300</v>
      </c>
      <c r="D3" s="5">
        <f>C3*'Valores y Totales'!C3</f>
        <v>330</v>
      </c>
      <c r="E3" s="2">
        <f t="shared" ref="E3:E20" si="0">G$1*C3</f>
        <v>300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6</v>
      </c>
      <c r="D6" s="5">
        <f>C6*'Valores y Totales'!B6</f>
        <v>1260</v>
      </c>
      <c r="E6" s="2">
        <f t="shared" si="0"/>
        <v>6</v>
      </c>
    </row>
    <row r="7" spans="2:7" x14ac:dyDescent="0.2">
      <c r="B7" s="2" t="s">
        <v>10</v>
      </c>
      <c r="C7" s="2">
        <v>300</v>
      </c>
      <c r="D7" s="5">
        <f>C7*'Valores y Totales'!C7</f>
        <v>420</v>
      </c>
      <c r="E7" s="2">
        <f t="shared" si="0"/>
        <v>300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24</v>
      </c>
      <c r="C21" s="2">
        <v>0</v>
      </c>
      <c r="D21" s="5">
        <f>C21*'Valores y Totales'!C21</f>
        <v>0</v>
      </c>
      <c r="E21" s="2">
        <f t="shared" ref="E21:E26" si="1">G$1*C21</f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1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1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1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1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1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3" t="s">
        <v>49</v>
      </c>
      <c r="C29" s="10">
        <v>80</v>
      </c>
      <c r="D29" s="11">
        <f>C29*G$1</f>
        <v>80</v>
      </c>
    </row>
    <row r="30" spans="2:5" x14ac:dyDescent="0.2">
      <c r="B30" s="3" t="s">
        <v>33</v>
      </c>
      <c r="C30" s="13">
        <f>SUM(D2:D20)</f>
        <v>7670</v>
      </c>
      <c r="D30" s="12">
        <f>C30*G$1</f>
        <v>7670</v>
      </c>
      <c r="E30" s="25"/>
    </row>
    <row r="31" spans="2:5" x14ac:dyDescent="0.2">
      <c r="B31" s="3" t="s">
        <v>34</v>
      </c>
      <c r="C31" s="13">
        <f>C30/C29*12</f>
        <v>1150.5</v>
      </c>
      <c r="D31" s="14">
        <f>C31</f>
        <v>1150.5</v>
      </c>
    </row>
    <row r="32" spans="2:5" ht="15.75" thickBot="1" x14ac:dyDescent="0.25">
      <c r="B32" s="3" t="s">
        <v>35</v>
      </c>
      <c r="C32" s="15">
        <f>C30/C29</f>
        <v>95.875</v>
      </c>
      <c r="D32" s="16">
        <f>C32</f>
        <v>95.875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1:G32"/>
  <sheetViews>
    <sheetView topLeftCell="A13" workbookViewId="0">
      <selection activeCell="H23" sqref="H23"/>
    </sheetView>
  </sheetViews>
  <sheetFormatPr defaultColWidth="11.43359375" defaultRowHeight="15" x14ac:dyDescent="0.2"/>
  <cols>
    <col min="2" max="2" width="18.832031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150</v>
      </c>
      <c r="D2" s="5">
        <f>C2*'Valores y Totales'!C2</f>
        <v>1650</v>
      </c>
      <c r="E2" s="2">
        <f>G$1*C2</f>
        <v>150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0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50</v>
      </c>
      <c r="D8" s="5">
        <f>C8*'Valores y Totales'!C8</f>
        <v>105</v>
      </c>
      <c r="E8" s="2">
        <f t="shared" si="0"/>
        <v>50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100</v>
      </c>
      <c r="D20" s="5">
        <f>C20*'Valores y Totales'!C20</f>
        <v>229.99999999999997</v>
      </c>
      <c r="E20" s="2">
        <f t="shared" si="0"/>
        <v>100</v>
      </c>
    </row>
    <row r="21" spans="2:5" x14ac:dyDescent="0.2">
      <c r="B21" s="2" t="s">
        <v>41</v>
      </c>
      <c r="C21" s="2">
        <v>500</v>
      </c>
      <c r="D21" s="5">
        <f>C21*'Valores y Totales'!C21</f>
        <v>5000</v>
      </c>
      <c r="E21" s="2">
        <f t="shared" ref="E21:E26" si="1">G$1*C21</f>
        <v>500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1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1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1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1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1"/>
        <v>0</v>
      </c>
    </row>
    <row r="28" spans="2:5" ht="15.75" thickBot="1" x14ac:dyDescent="0.25">
      <c r="C28" s="19" t="s">
        <v>30</v>
      </c>
      <c r="D28" s="19" t="s">
        <v>31</v>
      </c>
    </row>
    <row r="29" spans="2:5" x14ac:dyDescent="0.2">
      <c r="B29" s="3" t="s">
        <v>49</v>
      </c>
      <c r="C29" s="10">
        <v>80</v>
      </c>
      <c r="D29" s="11">
        <f>C29*G$1</f>
        <v>80</v>
      </c>
      <c r="E29" t="s">
        <v>199</v>
      </c>
    </row>
    <row r="30" spans="2:5" x14ac:dyDescent="0.2">
      <c r="B30" s="3" t="s">
        <v>33</v>
      </c>
      <c r="C30" s="13">
        <f>SUM(D2:D26)</f>
        <v>14085</v>
      </c>
      <c r="D30" s="12">
        <f>C30*G$1</f>
        <v>14085</v>
      </c>
    </row>
    <row r="31" spans="2:5" x14ac:dyDescent="0.2">
      <c r="B31" s="3" t="s">
        <v>34</v>
      </c>
      <c r="C31" s="13">
        <f>C30/C29*12</f>
        <v>2112.75</v>
      </c>
      <c r="D31" s="14">
        <f>C31</f>
        <v>2112.75</v>
      </c>
    </row>
    <row r="32" spans="2:5" ht="15.75" thickBot="1" x14ac:dyDescent="0.25">
      <c r="B32" s="3" t="s">
        <v>35</v>
      </c>
      <c r="C32" s="15">
        <f>C30/C29</f>
        <v>176.0625</v>
      </c>
      <c r="D32" s="16">
        <f>C32</f>
        <v>176.0625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1:G32"/>
  <sheetViews>
    <sheetView topLeftCell="A13" workbookViewId="0">
      <selection activeCell="C29" sqref="C29"/>
    </sheetView>
  </sheetViews>
  <sheetFormatPr defaultColWidth="11.43359375" defaultRowHeight="15" x14ac:dyDescent="0.2"/>
  <cols>
    <col min="2" max="2" width="18.83203125" bestFit="1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15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150</v>
      </c>
      <c r="D7" s="5">
        <f>C7*'Valores y Totales'!C7</f>
        <v>210</v>
      </c>
      <c r="E7" s="2">
        <f t="shared" si="0"/>
        <v>150</v>
      </c>
    </row>
    <row r="8" spans="2:7" x14ac:dyDescent="0.2">
      <c r="B8" s="2" t="s">
        <v>11</v>
      </c>
      <c r="C8" s="2">
        <v>300</v>
      </c>
      <c r="D8" s="5">
        <f>C8*'Valores y Totales'!C8</f>
        <v>630</v>
      </c>
      <c r="E8" s="2">
        <f t="shared" si="0"/>
        <v>300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>G$1*C16</f>
        <v>10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>G$1*C17</f>
        <v>0</v>
      </c>
    </row>
    <row r="18" spans="2:6" x14ac:dyDescent="0.2">
      <c r="B18" s="2" t="s">
        <v>21</v>
      </c>
      <c r="C18" s="2">
        <v>20</v>
      </c>
      <c r="D18" s="5">
        <f>C18*'Valores y Totales'!C18</f>
        <v>266.66666666666669</v>
      </c>
      <c r="E18" s="2">
        <f>G$1*C18</f>
        <v>20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>G$1*C19</f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>G$1*C20</f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ref="E21:E26" si="1">G$1*C21</f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1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1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1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1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1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32</v>
      </c>
      <c r="C29" s="10">
        <v>80</v>
      </c>
      <c r="D29" s="11">
        <f>C29*G$1</f>
        <v>80</v>
      </c>
      <c r="E29" t="s">
        <v>199</v>
      </c>
      <c r="F29" t="s">
        <v>200</v>
      </c>
    </row>
    <row r="30" spans="2:6" x14ac:dyDescent="0.2">
      <c r="B30" s="3" t="s">
        <v>33</v>
      </c>
      <c r="C30" s="13">
        <f>SUM(D2:D21)</f>
        <v>9486.6666666666661</v>
      </c>
      <c r="D30" s="12">
        <f>C30*G$1</f>
        <v>9486.6666666666661</v>
      </c>
    </row>
    <row r="31" spans="2:6" x14ac:dyDescent="0.2">
      <c r="B31" s="3" t="s">
        <v>34</v>
      </c>
      <c r="C31" s="13">
        <f>C30/C29*12</f>
        <v>1423</v>
      </c>
      <c r="D31" s="14">
        <f>C31</f>
        <v>1423</v>
      </c>
    </row>
    <row r="32" spans="2:6" ht="15.75" thickBot="1" x14ac:dyDescent="0.25">
      <c r="B32" s="3" t="s">
        <v>35</v>
      </c>
      <c r="C32" s="15">
        <f>C30/C29</f>
        <v>118.58333333333333</v>
      </c>
      <c r="D32" s="16">
        <f>C32</f>
        <v>118.58333333333333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:G32"/>
  <sheetViews>
    <sheetView workbookViewId="0">
      <selection activeCell="C6" sqref="C6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115</v>
      </c>
      <c r="D2" s="5">
        <f>C2*'Valores y Totales'!C2</f>
        <v>1265</v>
      </c>
      <c r="E2" s="2">
        <f>G$1*C2</f>
        <v>115</v>
      </c>
    </row>
    <row r="3" spans="2:7" x14ac:dyDescent="0.2">
      <c r="B3" s="2" t="s">
        <v>6</v>
      </c>
      <c r="C3" s="1">
        <v>220</v>
      </c>
      <c r="D3" s="5">
        <f>C3*'Valores y Totales'!C3</f>
        <v>242.00000000000003</v>
      </c>
      <c r="E3" s="2">
        <f t="shared" ref="E3:E12" si="0">G$1*C3</f>
        <v>220</v>
      </c>
    </row>
    <row r="4" spans="2:7" x14ac:dyDescent="0.2">
      <c r="B4" s="2" t="s">
        <v>7</v>
      </c>
      <c r="C4" s="1">
        <v>115</v>
      </c>
      <c r="D4" s="5">
        <f>C4*'Valores y Totales'!C4</f>
        <v>172.5</v>
      </c>
      <c r="E4" s="2">
        <f t="shared" si="0"/>
        <v>115</v>
      </c>
    </row>
    <row r="5" spans="2:7" x14ac:dyDescent="0.2">
      <c r="B5" s="2" t="s">
        <v>8</v>
      </c>
      <c r="C5" s="1">
        <v>25</v>
      </c>
      <c r="D5" s="5">
        <f>C5*'Valores y Totales'!C5</f>
        <v>625</v>
      </c>
      <c r="E5" s="2">
        <f t="shared" si="0"/>
        <v>25</v>
      </c>
    </row>
    <row r="6" spans="2:7" x14ac:dyDescent="0.2">
      <c r="B6" s="1" t="s">
        <v>9</v>
      </c>
      <c r="C6" s="1">
        <v>1</v>
      </c>
      <c r="D6" s="5">
        <f>C6*'Valores y Totales'!C6</f>
        <v>210</v>
      </c>
      <c r="E6" s="2">
        <f t="shared" si="0"/>
        <v>1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ref="E13:E20" si="1">G$1*C13</f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1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1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1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1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1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1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1"/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ref="E21:E26" si="2">G$1*C21</f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2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2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2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2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2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50</v>
      </c>
      <c r="D29" s="11">
        <f>C29*G$1</f>
        <v>50</v>
      </c>
    </row>
    <row r="30" spans="2:5" x14ac:dyDescent="0.2">
      <c r="B30" s="8" t="s">
        <v>33</v>
      </c>
      <c r="C30" s="13">
        <f>SUM(D2:D20)</f>
        <v>2514.5</v>
      </c>
      <c r="D30" s="12">
        <f>C30*G$1</f>
        <v>2514.5</v>
      </c>
    </row>
    <row r="31" spans="2:5" x14ac:dyDescent="0.2">
      <c r="B31" s="8" t="s">
        <v>34</v>
      </c>
      <c r="C31" s="13">
        <f>C30/C29*12</f>
        <v>603.48</v>
      </c>
      <c r="D31" s="14">
        <f>C31</f>
        <v>603.48</v>
      </c>
    </row>
    <row r="32" spans="2:5" ht="15.75" thickBot="1" x14ac:dyDescent="0.25">
      <c r="B32" s="8" t="s">
        <v>35</v>
      </c>
      <c r="C32" s="15">
        <f>C30/C29</f>
        <v>50.29</v>
      </c>
      <c r="D32" s="16">
        <f>C32</f>
        <v>50.29</v>
      </c>
    </row>
  </sheetData>
  <pageMargins left="0.7" right="0.7" top="0.75" bottom="0.75" header="0.3" footer="0.3"/>
  <pageSetup orientation="portrait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BB59-CCD4-4B93-ACC8-5210CC4F302D}">
  <dimension ref="B1:G27"/>
  <sheetViews>
    <sheetView topLeftCell="A10" workbookViewId="0">
      <selection activeCell="C27" sqref="C27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7734375" bestFit="1" customWidth="1"/>
    <col min="7" max="7" width="2.28515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1" si="0">G$1*C3</f>
        <v>250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Totales'!C6</f>
        <v>210</v>
      </c>
      <c r="E6" s="2">
        <f t="shared" si="0"/>
        <v>1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150</v>
      </c>
      <c r="D9" s="5">
        <f>C9*'Valores y Totales'!C9</f>
        <v>3900</v>
      </c>
      <c r="E9" s="2">
        <f t="shared" si="0"/>
        <v>150</v>
      </c>
    </row>
    <row r="10" spans="2:7" x14ac:dyDescent="0.2">
      <c r="B10" s="2" t="s">
        <v>192</v>
      </c>
      <c r="C10" s="2">
        <v>200</v>
      </c>
      <c r="D10" s="5">
        <f>C10*'Valores y Totales'!C53</f>
        <v>520</v>
      </c>
      <c r="E10" s="2">
        <f t="shared" si="0"/>
        <v>200</v>
      </c>
    </row>
    <row r="11" spans="2:7" x14ac:dyDescent="0.2">
      <c r="B11" s="2" t="s">
        <v>14</v>
      </c>
      <c r="C11" s="2">
        <v>500</v>
      </c>
      <c r="D11" s="5">
        <f>C11*'Valores y Totales'!C11</f>
        <v>2500</v>
      </c>
      <c r="E11" s="2">
        <f t="shared" si="0"/>
        <v>500</v>
      </c>
    </row>
    <row r="12" spans="2:7" x14ac:dyDescent="0.2">
      <c r="B12" s="2" t="s">
        <v>193</v>
      </c>
      <c r="C12" s="2">
        <v>200</v>
      </c>
      <c r="D12" s="5">
        <f>C12*'Valores y Totales'!C54</f>
        <v>1260</v>
      </c>
      <c r="E12" s="2">
        <f t="shared" si="0"/>
        <v>200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23</v>
      </c>
      <c r="C15" s="2">
        <v>200</v>
      </c>
      <c r="D15" s="5">
        <f>C15*'Valores y Totales'!C20</f>
        <v>459.99999999999994</v>
      </c>
      <c r="E15" s="2">
        <f t="shared" si="0"/>
        <v>200</v>
      </c>
    </row>
    <row r="16" spans="2:7" x14ac:dyDescent="0.2">
      <c r="B16" s="2" t="s">
        <v>41</v>
      </c>
      <c r="C16" s="2">
        <v>150</v>
      </c>
      <c r="D16" s="5">
        <f>C16*'Valores y Totales'!C21</f>
        <v>1500</v>
      </c>
      <c r="E16" s="2">
        <f t="shared" si="0"/>
        <v>150</v>
      </c>
    </row>
    <row r="17" spans="2:5" x14ac:dyDescent="0.2">
      <c r="B17" s="2" t="s">
        <v>25</v>
      </c>
      <c r="C17" s="2">
        <v>0</v>
      </c>
      <c r="D17" s="5">
        <f>C17*'Valores y Totales'!C22</f>
        <v>0</v>
      </c>
      <c r="E17" s="2">
        <f t="shared" si="0"/>
        <v>0</v>
      </c>
    </row>
    <row r="18" spans="2:5" x14ac:dyDescent="0.2">
      <c r="B18" s="2" t="s">
        <v>26</v>
      </c>
      <c r="C18" s="2">
        <v>0</v>
      </c>
      <c r="D18" s="5">
        <f>C18*'Valores y Totales'!C23</f>
        <v>0</v>
      </c>
      <c r="E18" s="2">
        <f t="shared" si="0"/>
        <v>0</v>
      </c>
    </row>
    <row r="19" spans="2:5" x14ac:dyDescent="0.2">
      <c r="B19" s="2" t="s">
        <v>27</v>
      </c>
      <c r="C19" s="2">
        <v>0</v>
      </c>
      <c r="D19" s="5">
        <f>C19*'Valores y Totales'!C24</f>
        <v>0</v>
      </c>
      <c r="E19" s="2">
        <f t="shared" si="0"/>
        <v>0</v>
      </c>
    </row>
    <row r="20" spans="2:5" x14ac:dyDescent="0.2">
      <c r="B20" s="2" t="s">
        <v>28</v>
      </c>
      <c r="C20" s="2">
        <v>0</v>
      </c>
      <c r="D20" s="5">
        <f>C20*'Valores y Totales'!C25</f>
        <v>0</v>
      </c>
      <c r="E20" s="2">
        <f t="shared" si="0"/>
        <v>0</v>
      </c>
    </row>
    <row r="21" spans="2:5" x14ac:dyDescent="0.2">
      <c r="B21" s="2" t="s">
        <v>29</v>
      </c>
      <c r="C21" s="2">
        <v>0</v>
      </c>
      <c r="D21" s="5">
        <f>C21*'Valores y Totales'!C26</f>
        <v>0</v>
      </c>
      <c r="E21" s="2">
        <f t="shared" si="0"/>
        <v>0</v>
      </c>
    </row>
    <row r="23" spans="2:5" x14ac:dyDescent="0.2">
      <c r="C23" s="9" t="s">
        <v>30</v>
      </c>
      <c r="D23" s="9" t="s">
        <v>31</v>
      </c>
    </row>
    <row r="24" spans="2:5" x14ac:dyDescent="0.2">
      <c r="B24" s="8" t="s">
        <v>32</v>
      </c>
      <c r="C24" s="10">
        <v>60</v>
      </c>
      <c r="D24" s="11">
        <f>C24*G$1</f>
        <v>60</v>
      </c>
    </row>
    <row r="25" spans="2:5" x14ac:dyDescent="0.2">
      <c r="B25" s="8" t="s">
        <v>33</v>
      </c>
      <c r="C25" s="13">
        <f>SUM(D2:D21)</f>
        <v>12825</v>
      </c>
      <c r="D25" s="12">
        <f>C25*G$1</f>
        <v>12825</v>
      </c>
    </row>
    <row r="26" spans="2:5" x14ac:dyDescent="0.2">
      <c r="B26" s="8" t="s">
        <v>34</v>
      </c>
      <c r="C26" s="13">
        <f>C25/C24*12</f>
        <v>2565</v>
      </c>
      <c r="D26" s="14">
        <f>C26</f>
        <v>2565</v>
      </c>
    </row>
    <row r="27" spans="2:5" x14ac:dyDescent="0.2">
      <c r="B27" s="8" t="s">
        <v>35</v>
      </c>
      <c r="C27" s="15">
        <f>C25/C24</f>
        <v>213.75</v>
      </c>
      <c r="D27" s="16">
        <f>C27</f>
        <v>213.75</v>
      </c>
    </row>
  </sheetData>
  <pageMargins left="0.7" right="0.7" top="0.75" bottom="0.75" header="0.3" footer="0.3"/>
  <pageSetup orientation="portrait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1:G32"/>
  <sheetViews>
    <sheetView workbookViewId="0">
      <selection activeCell="C11" sqref="C11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6" si="0">G$1*C3</f>
        <v>250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Totales'!C6</f>
        <v>210</v>
      </c>
      <c r="E6" s="2">
        <f t="shared" si="0"/>
        <v>1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200</v>
      </c>
      <c r="D10" s="5">
        <f>C10*'Valores y Totales'!C10</f>
        <v>4400</v>
      </c>
      <c r="E10" s="2">
        <f t="shared" si="0"/>
        <v>200</v>
      </c>
    </row>
    <row r="11" spans="2:7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200</v>
      </c>
      <c r="D20" s="5">
        <f>C20*'Valores y Totales'!C20</f>
        <v>459.99999999999994</v>
      </c>
      <c r="E20" s="2">
        <f t="shared" si="0"/>
        <v>200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60</v>
      </c>
      <c r="D29" s="11">
        <f>C29*G$1</f>
        <v>60</v>
      </c>
    </row>
    <row r="30" spans="2:5" x14ac:dyDescent="0.2">
      <c r="B30" s="8" t="s">
        <v>33</v>
      </c>
      <c r="C30" s="13">
        <f>SUM(D2:D26)</f>
        <v>12545</v>
      </c>
      <c r="D30" s="12">
        <f>C30*G$1</f>
        <v>12545</v>
      </c>
    </row>
    <row r="31" spans="2:5" x14ac:dyDescent="0.2">
      <c r="B31" s="8" t="s">
        <v>34</v>
      </c>
      <c r="C31" s="13">
        <f>C30/C29*12</f>
        <v>2509</v>
      </c>
      <c r="D31" s="14">
        <f>C31</f>
        <v>2509</v>
      </c>
    </row>
    <row r="32" spans="2:5" ht="15.75" thickBot="1" x14ac:dyDescent="0.25">
      <c r="B32" s="8" t="s">
        <v>35</v>
      </c>
      <c r="C32" s="15">
        <f>C30/C29</f>
        <v>209.08333333333334</v>
      </c>
      <c r="D32" s="16">
        <f>C32</f>
        <v>209.08333333333334</v>
      </c>
    </row>
  </sheetData>
  <pageMargins left="0.7" right="0.7" top="0.75" bottom="0.75" header="0.3" footer="0.3"/>
  <pageSetup orientation="portrait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1:G32"/>
  <sheetViews>
    <sheetView topLeftCell="A23" workbookViewId="0">
      <selection activeCell="D31" sqref="D31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6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200</v>
      </c>
      <c r="D7" s="5">
        <f>C7*'Valores y Totales'!C7</f>
        <v>280</v>
      </c>
      <c r="E7" s="2">
        <f t="shared" si="0"/>
        <v>200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5</v>
      </c>
      <c r="D16" s="5">
        <f>C16*'Valores y Totales'!C16</f>
        <v>20</v>
      </c>
      <c r="E16" s="2">
        <f t="shared" si="0"/>
        <v>5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3350</v>
      </c>
      <c r="D30" s="12">
        <f>C30*G$1</f>
        <v>3350</v>
      </c>
    </row>
    <row r="31" spans="2:6" x14ac:dyDescent="0.2">
      <c r="B31" s="3" t="s">
        <v>34</v>
      </c>
      <c r="C31" s="13">
        <v>0</v>
      </c>
      <c r="D31" s="14">
        <f>C31</f>
        <v>0</v>
      </c>
    </row>
    <row r="32" spans="2:6" x14ac:dyDescent="0.2">
      <c r="B32" s="3" t="s">
        <v>35</v>
      </c>
      <c r="C32" s="15">
        <f>C30/C29</f>
        <v>3350</v>
      </c>
      <c r="D32" s="16">
        <f>C32</f>
        <v>3350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1:G32"/>
  <sheetViews>
    <sheetView topLeftCell="A8" workbookViewId="0">
      <selection activeCell="F30" sqref="F30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115</v>
      </c>
      <c r="D2" s="5">
        <f>C2*'Valores y Totales'!C2</f>
        <v>1265</v>
      </c>
      <c r="E2" s="2">
        <f>G$1*C2</f>
        <v>115</v>
      </c>
    </row>
    <row r="3" spans="2:7" x14ac:dyDescent="0.2">
      <c r="B3" s="2" t="s">
        <v>6</v>
      </c>
      <c r="C3" s="1">
        <v>125</v>
      </c>
      <c r="D3" s="5">
        <f>C3*'Valores y Totales'!C3</f>
        <v>137.5</v>
      </c>
      <c r="E3" s="2">
        <f t="shared" ref="E3:E26" si="0">G$1*C3</f>
        <v>125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60</v>
      </c>
      <c r="D5" s="5">
        <f>C5*'Valores y Totales'!C5</f>
        <v>1500</v>
      </c>
      <c r="E5" s="2">
        <f t="shared" si="0"/>
        <v>60</v>
      </c>
    </row>
    <row r="6" spans="2:7" x14ac:dyDescent="0.2">
      <c r="B6" s="1" t="s">
        <v>9</v>
      </c>
      <c r="C6" s="1">
        <v>3</v>
      </c>
      <c r="D6" s="5">
        <f>C6*'Valores y Totales'!B6</f>
        <v>630</v>
      </c>
      <c r="E6" s="2">
        <f t="shared" si="0"/>
        <v>3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30</v>
      </c>
      <c r="D8" s="5">
        <f>C8*'Valores y Totales'!C8</f>
        <v>63</v>
      </c>
      <c r="E8" s="2">
        <f t="shared" si="0"/>
        <v>30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6</v>
      </c>
      <c r="D16" s="5">
        <f>C16*'Valores y Totales'!C16</f>
        <v>24</v>
      </c>
      <c r="E16" s="2">
        <f t="shared" si="0"/>
        <v>6</v>
      </c>
    </row>
    <row r="17" spans="2:6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270</v>
      </c>
      <c r="D20" s="5">
        <f>C20*'Valores y Totales'!C20</f>
        <v>621</v>
      </c>
      <c r="E20" s="2">
        <f t="shared" si="0"/>
        <v>270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4640.5</v>
      </c>
      <c r="D30" s="12">
        <f>C30*G$1</f>
        <v>4640.5</v>
      </c>
    </row>
    <row r="31" spans="2:6" x14ac:dyDescent="0.2">
      <c r="B31" s="3"/>
      <c r="C31" s="13"/>
      <c r="D31" s="14"/>
    </row>
    <row r="32" spans="2:6" x14ac:dyDescent="0.2">
      <c r="B32" s="3" t="s">
        <v>35</v>
      </c>
      <c r="C32" s="15">
        <f>C30/C29</f>
        <v>4640.5</v>
      </c>
      <c r="D32" s="16">
        <f>C32</f>
        <v>4640.5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1:G32"/>
  <sheetViews>
    <sheetView topLeftCell="A3" workbookViewId="0">
      <selection activeCell="C3" sqref="C3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26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5</v>
      </c>
      <c r="D6" s="5">
        <f>C6*'Valores y Totales'!B6</f>
        <v>1050</v>
      </c>
      <c r="E6" s="2">
        <f t="shared" si="0"/>
        <v>5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250</v>
      </c>
      <c r="D20" s="5">
        <f>C20*'Valores y Totales'!C20</f>
        <v>575</v>
      </c>
      <c r="E20" s="2">
        <f t="shared" si="0"/>
        <v>250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5885</v>
      </c>
      <c r="D30" s="12">
        <f>C30*G$1</f>
        <v>5885</v>
      </c>
    </row>
    <row r="31" spans="2:6" x14ac:dyDescent="0.2">
      <c r="B31" s="3"/>
      <c r="C31" s="13"/>
      <c r="D31" s="14"/>
    </row>
    <row r="32" spans="2:6" x14ac:dyDescent="0.2">
      <c r="B32" s="3" t="s">
        <v>35</v>
      </c>
      <c r="C32" s="15">
        <f>C30/C29</f>
        <v>5885</v>
      </c>
      <c r="D32" s="16">
        <f>C32</f>
        <v>5885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1:J56"/>
  <sheetViews>
    <sheetView topLeftCell="A28" workbookViewId="0">
      <selection activeCell="C39" sqref="C39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style="2" bestFit="1" customWidth="1"/>
    <col min="7" max="8" width="11.43359375" style="2"/>
  </cols>
  <sheetData>
    <row r="1" spans="2:10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  <c r="H1"/>
      <c r="J1" s="26"/>
    </row>
    <row r="2" spans="2:10" x14ac:dyDescent="0.2">
      <c r="B2" s="2" t="s">
        <v>5</v>
      </c>
      <c r="C2" s="1">
        <f>110+25</f>
        <v>135</v>
      </c>
      <c r="D2" s="5">
        <f>C2*'Valores y Totales'!C2</f>
        <v>1485</v>
      </c>
      <c r="E2" s="2">
        <f t="shared" ref="E2:E31" si="0">G$1*C2</f>
        <v>135</v>
      </c>
      <c r="F2"/>
      <c r="G2"/>
      <c r="H2"/>
      <c r="J2" s="26"/>
    </row>
    <row r="3" spans="2:10" x14ac:dyDescent="0.2">
      <c r="B3" s="2" t="s">
        <v>6</v>
      </c>
      <c r="C3" s="1">
        <v>300</v>
      </c>
      <c r="D3" s="5">
        <f>C3*'Valores y Totales'!C3</f>
        <v>330</v>
      </c>
      <c r="E3" s="2">
        <f t="shared" si="0"/>
        <v>300</v>
      </c>
      <c r="F3"/>
      <c r="G3"/>
      <c r="H3"/>
    </row>
    <row r="4" spans="2:10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F4"/>
      <c r="G4"/>
      <c r="H4"/>
    </row>
    <row r="5" spans="2:10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  <c r="F5"/>
      <c r="G5"/>
      <c r="H5"/>
    </row>
    <row r="6" spans="2:10" x14ac:dyDescent="0.2">
      <c r="B6" s="1" t="s">
        <v>9</v>
      </c>
      <c r="C6" s="1">
        <f>2+3</f>
        <v>5</v>
      </c>
      <c r="D6" s="5">
        <f>C6*'Valores y Totales'!B6</f>
        <v>1050</v>
      </c>
      <c r="E6" s="2">
        <f t="shared" si="0"/>
        <v>5</v>
      </c>
      <c r="F6"/>
      <c r="G6"/>
      <c r="H6"/>
    </row>
    <row r="7" spans="2:10" x14ac:dyDescent="0.2">
      <c r="B7" s="2" t="s">
        <v>10</v>
      </c>
      <c r="C7" s="2">
        <f>160+100+200</f>
        <v>460</v>
      </c>
      <c r="D7" s="5">
        <f>C7*'Valores y Totales'!C7</f>
        <v>644</v>
      </c>
      <c r="E7" s="2">
        <f t="shared" si="0"/>
        <v>460</v>
      </c>
      <c r="F7"/>
      <c r="G7"/>
      <c r="H7"/>
    </row>
    <row r="8" spans="2:10" x14ac:dyDescent="0.2">
      <c r="B8" s="2" t="s">
        <v>11</v>
      </c>
      <c r="C8" s="2">
        <v>30</v>
      </c>
      <c r="D8" s="5">
        <f>C8*'Valores y Totales'!C8</f>
        <v>63</v>
      </c>
      <c r="E8" s="2">
        <f t="shared" si="0"/>
        <v>30</v>
      </c>
      <c r="F8"/>
      <c r="G8"/>
      <c r="H8"/>
    </row>
    <row r="9" spans="2:10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  <c r="F9"/>
      <c r="G9"/>
      <c r="H9"/>
    </row>
    <row r="10" spans="2:10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F10"/>
      <c r="G10"/>
      <c r="H10"/>
    </row>
    <row r="11" spans="2:10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  <c r="F11"/>
      <c r="G11"/>
      <c r="H11"/>
    </row>
    <row r="12" spans="2:10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  <c r="F12"/>
      <c r="G12"/>
      <c r="H12"/>
    </row>
    <row r="13" spans="2:10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  <c r="F13"/>
      <c r="G13"/>
      <c r="H13"/>
    </row>
    <row r="14" spans="2:10" x14ac:dyDescent="0.2">
      <c r="B14" s="2" t="s">
        <v>17</v>
      </c>
      <c r="C14" s="2">
        <f>1+1</f>
        <v>2</v>
      </c>
      <c r="D14" s="5">
        <f>C14*'Valores y Totales'!C14</f>
        <v>1000</v>
      </c>
      <c r="E14" s="2">
        <f t="shared" si="0"/>
        <v>2</v>
      </c>
      <c r="F14"/>
      <c r="G14"/>
      <c r="H14"/>
    </row>
    <row r="15" spans="2:10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  <c r="F15"/>
      <c r="G15"/>
      <c r="H15"/>
    </row>
    <row r="16" spans="2:10" x14ac:dyDescent="0.2">
      <c r="B16" s="2" t="s">
        <v>19</v>
      </c>
      <c r="C16" s="2">
        <v>14</v>
      </c>
      <c r="D16" s="5">
        <f>C16*'Valores y Totales'!C16</f>
        <v>56</v>
      </c>
      <c r="E16" s="2">
        <f t="shared" si="0"/>
        <v>14</v>
      </c>
      <c r="F16"/>
      <c r="G16"/>
      <c r="H16"/>
    </row>
    <row r="17" spans="2:8" x14ac:dyDescent="0.2">
      <c r="B17" s="2" t="s">
        <v>20</v>
      </c>
      <c r="C17" s="2">
        <f>160+250</f>
        <v>410</v>
      </c>
      <c r="D17" s="5">
        <f>C17*'Valores y Totales'!C17</f>
        <v>1025</v>
      </c>
      <c r="E17" s="2">
        <f t="shared" si="0"/>
        <v>410</v>
      </c>
      <c r="F17"/>
      <c r="G17"/>
      <c r="H17"/>
    </row>
    <row r="18" spans="2:8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  <c r="F18"/>
      <c r="G18"/>
      <c r="H18"/>
    </row>
    <row r="19" spans="2:8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  <c r="F19"/>
      <c r="G19"/>
      <c r="H19"/>
    </row>
    <row r="20" spans="2:8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  <c r="F20"/>
      <c r="G20"/>
      <c r="H20"/>
    </row>
    <row r="21" spans="2:8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  <c r="F21"/>
      <c r="G21"/>
      <c r="H21"/>
    </row>
    <row r="22" spans="2:8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  <c r="F22"/>
      <c r="G22"/>
      <c r="H22"/>
    </row>
    <row r="23" spans="2:8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  <c r="F23"/>
      <c r="G23"/>
      <c r="H23"/>
    </row>
    <row r="24" spans="2:8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  <c r="F24"/>
      <c r="G24"/>
      <c r="H24"/>
    </row>
    <row r="25" spans="2:8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  <c r="F25"/>
      <c r="G25"/>
      <c r="H25"/>
    </row>
    <row r="26" spans="2:8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  <c r="F26"/>
      <c r="G26"/>
      <c r="H26"/>
    </row>
    <row r="27" spans="2:8" x14ac:dyDescent="0.2">
      <c r="B27" s="2" t="s">
        <v>42</v>
      </c>
      <c r="C27" s="2">
        <v>0</v>
      </c>
      <c r="D27" s="5">
        <f>C27*'Valores y Totales'!C27</f>
        <v>0</v>
      </c>
      <c r="E27" s="2">
        <f t="shared" si="0"/>
        <v>0</v>
      </c>
      <c r="F27"/>
      <c r="G27"/>
      <c r="H27"/>
    </row>
    <row r="28" spans="2:8" x14ac:dyDescent="0.2">
      <c r="B28" s="27" t="s">
        <v>43</v>
      </c>
      <c r="C28" s="2">
        <v>0</v>
      </c>
      <c r="D28" s="5">
        <f>C28*'Valores y Totales'!C28</f>
        <v>0</v>
      </c>
      <c r="E28" s="2">
        <f t="shared" si="0"/>
        <v>0</v>
      </c>
      <c r="F28"/>
      <c r="G28"/>
      <c r="H28"/>
    </row>
    <row r="29" spans="2:8" x14ac:dyDescent="0.2">
      <c r="B29" s="2" t="s">
        <v>44</v>
      </c>
      <c r="C29" s="2">
        <v>0</v>
      </c>
      <c r="D29" s="5">
        <f>C29*'Valores y Totales'!C29</f>
        <v>0</v>
      </c>
      <c r="E29" s="2">
        <f t="shared" si="0"/>
        <v>0</v>
      </c>
      <c r="F29"/>
      <c r="G29"/>
      <c r="H29"/>
    </row>
    <row r="30" spans="2:8" x14ac:dyDescent="0.2">
      <c r="B30" s="2" t="s">
        <v>45</v>
      </c>
      <c r="C30" s="2">
        <v>0</v>
      </c>
      <c r="D30" s="5">
        <f>C30*'Valores y Totales'!C30</f>
        <v>0</v>
      </c>
      <c r="E30" s="2">
        <f t="shared" si="0"/>
        <v>0</v>
      </c>
      <c r="F30"/>
      <c r="G30"/>
      <c r="H30"/>
    </row>
    <row r="31" spans="2:8" x14ac:dyDescent="0.2">
      <c r="B31" s="2" t="s">
        <v>46</v>
      </c>
      <c r="C31" s="2">
        <v>0</v>
      </c>
      <c r="D31" s="5">
        <f>C31*'Valores y Totales'!C31</f>
        <v>0</v>
      </c>
      <c r="E31" s="2">
        <f t="shared" si="0"/>
        <v>0</v>
      </c>
      <c r="F31"/>
      <c r="G31"/>
      <c r="H31"/>
    </row>
    <row r="32" spans="2:8" x14ac:dyDescent="0.2">
      <c r="B32" t="s">
        <v>47</v>
      </c>
      <c r="C32">
        <v>12</v>
      </c>
      <c r="D32">
        <v>15</v>
      </c>
      <c r="F32"/>
      <c r="G32"/>
      <c r="H32"/>
    </row>
    <row r="33" spans="2:8" x14ac:dyDescent="0.2">
      <c r="F33"/>
      <c r="G33"/>
      <c r="H33"/>
    </row>
    <row r="34" spans="2:8" x14ac:dyDescent="0.2">
      <c r="F34"/>
      <c r="G34"/>
      <c r="H34"/>
    </row>
    <row r="35" spans="2:8" x14ac:dyDescent="0.2">
      <c r="F35"/>
      <c r="G35"/>
      <c r="H35"/>
    </row>
    <row r="36" spans="2:8" x14ac:dyDescent="0.2">
      <c r="C36" s="9" t="s">
        <v>30</v>
      </c>
      <c r="D36" s="9" t="s">
        <v>31</v>
      </c>
      <c r="F36"/>
      <c r="G36"/>
      <c r="H36"/>
    </row>
    <row r="37" spans="2:8" x14ac:dyDescent="0.2">
      <c r="B37" s="3" t="s">
        <v>48</v>
      </c>
      <c r="C37" s="10">
        <v>12</v>
      </c>
      <c r="D37" s="11">
        <f>C37*G$1</f>
        <v>12</v>
      </c>
      <c r="F37"/>
      <c r="G37"/>
      <c r="H37"/>
    </row>
    <row r="38" spans="2:8" x14ac:dyDescent="0.2">
      <c r="B38" s="3" t="s">
        <v>33</v>
      </c>
      <c r="C38" s="13">
        <f>SUM(D2:D32)</f>
        <v>5668</v>
      </c>
      <c r="D38" s="12">
        <f>C38*G$1</f>
        <v>5668</v>
      </c>
      <c r="F38"/>
      <c r="G38"/>
      <c r="H38"/>
    </row>
    <row r="39" spans="2:8" x14ac:dyDescent="0.2">
      <c r="B39" s="3"/>
      <c r="C39" s="13"/>
      <c r="D39" s="14"/>
      <c r="F39"/>
      <c r="G39"/>
      <c r="H39"/>
    </row>
    <row r="40" spans="2:8" x14ac:dyDescent="0.2">
      <c r="B40" s="3"/>
      <c r="C40" s="15"/>
      <c r="D40" s="16"/>
      <c r="F40"/>
      <c r="G40"/>
      <c r="H40"/>
    </row>
    <row r="41" spans="2:8" x14ac:dyDescent="0.2">
      <c r="F41"/>
      <c r="G41"/>
      <c r="H41"/>
    </row>
    <row r="42" spans="2:8" x14ac:dyDescent="0.2">
      <c r="F42"/>
      <c r="G42"/>
      <c r="H42"/>
    </row>
    <row r="43" spans="2:8" x14ac:dyDescent="0.2">
      <c r="F43"/>
      <c r="G43"/>
      <c r="H43"/>
    </row>
    <row r="44" spans="2:8" x14ac:dyDescent="0.2">
      <c r="F44"/>
      <c r="G44"/>
      <c r="H44"/>
    </row>
    <row r="45" spans="2:8" x14ac:dyDescent="0.2">
      <c r="F45"/>
      <c r="G45"/>
      <c r="H45"/>
    </row>
    <row r="46" spans="2:8" x14ac:dyDescent="0.2">
      <c r="F46"/>
      <c r="G46"/>
      <c r="H46"/>
    </row>
    <row r="47" spans="2:8" x14ac:dyDescent="0.2">
      <c r="F47"/>
      <c r="G47"/>
      <c r="H47"/>
    </row>
    <row r="48" spans="2:8" x14ac:dyDescent="0.2">
      <c r="F48"/>
      <c r="G48"/>
      <c r="H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1:J56"/>
  <sheetViews>
    <sheetView workbookViewId="0">
      <selection activeCell="C5" sqref="C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style="2" bestFit="1" customWidth="1"/>
    <col min="7" max="8" width="11.43359375" style="2"/>
  </cols>
  <sheetData>
    <row r="1" spans="2:10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  <c r="H1"/>
      <c r="J1" s="26"/>
    </row>
    <row r="2" spans="2:10" x14ac:dyDescent="0.2">
      <c r="B2" s="2" t="s">
        <v>5</v>
      </c>
      <c r="C2" s="1">
        <v>315</v>
      </c>
      <c r="D2" s="5">
        <f>C2*'Valores y Totales'!C2</f>
        <v>3465</v>
      </c>
      <c r="E2" s="2">
        <f t="shared" ref="E2:E31" si="0">G$1*C2</f>
        <v>315</v>
      </c>
      <c r="F2"/>
      <c r="G2"/>
      <c r="H2"/>
      <c r="J2" s="26"/>
    </row>
    <row r="3" spans="2:10" x14ac:dyDescent="0.2">
      <c r="B3" s="2" t="s">
        <v>6</v>
      </c>
      <c r="C3" s="1">
        <v>575</v>
      </c>
      <c r="D3" s="5">
        <f>C3*'Valores y Totales'!C3</f>
        <v>632.5</v>
      </c>
      <c r="E3" s="2">
        <f t="shared" si="0"/>
        <v>575</v>
      </c>
      <c r="F3"/>
      <c r="G3"/>
      <c r="H3"/>
    </row>
    <row r="4" spans="2:10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F4"/>
      <c r="G4"/>
      <c r="H4"/>
    </row>
    <row r="5" spans="2:10" x14ac:dyDescent="0.2">
      <c r="B5" s="2" t="s">
        <v>8</v>
      </c>
      <c r="C5" s="1">
        <v>60</v>
      </c>
      <c r="D5" s="5">
        <f>C5*'Valores y Totales'!C5</f>
        <v>1500</v>
      </c>
      <c r="E5" s="2">
        <f t="shared" si="0"/>
        <v>60</v>
      </c>
      <c r="F5"/>
      <c r="G5"/>
      <c r="H5"/>
    </row>
    <row r="6" spans="2:10" x14ac:dyDescent="0.2">
      <c r="B6" s="1" t="s">
        <v>9</v>
      </c>
      <c r="C6" s="1">
        <v>5</v>
      </c>
      <c r="D6" s="5">
        <f>C6*'Valores y Totales'!B6</f>
        <v>1050</v>
      </c>
      <c r="E6" s="2">
        <f t="shared" si="0"/>
        <v>5</v>
      </c>
      <c r="F6"/>
      <c r="G6"/>
      <c r="H6"/>
    </row>
    <row r="7" spans="2:10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  <c r="F7"/>
      <c r="G7"/>
      <c r="H7"/>
    </row>
    <row r="8" spans="2:10" x14ac:dyDescent="0.2">
      <c r="B8" s="2" t="s">
        <v>11</v>
      </c>
      <c r="C8" s="2">
        <v>30</v>
      </c>
      <c r="D8" s="5">
        <f>C8*'Valores y Totales'!C8</f>
        <v>63</v>
      </c>
      <c r="E8" s="2">
        <f t="shared" si="0"/>
        <v>30</v>
      </c>
      <c r="F8"/>
      <c r="G8"/>
      <c r="H8"/>
    </row>
    <row r="9" spans="2:10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  <c r="F9"/>
      <c r="G9"/>
      <c r="H9"/>
    </row>
    <row r="10" spans="2:10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F10"/>
      <c r="G10"/>
      <c r="H10"/>
    </row>
    <row r="11" spans="2:10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  <c r="F11"/>
      <c r="G11"/>
      <c r="H11"/>
    </row>
    <row r="12" spans="2:10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  <c r="F12"/>
      <c r="G12"/>
      <c r="H12"/>
    </row>
    <row r="13" spans="2:10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  <c r="F13"/>
      <c r="G13"/>
      <c r="H13"/>
    </row>
    <row r="14" spans="2:10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  <c r="F14"/>
      <c r="G14"/>
      <c r="H14"/>
    </row>
    <row r="15" spans="2:10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  <c r="F15"/>
      <c r="G15"/>
      <c r="H15"/>
    </row>
    <row r="16" spans="2:10" x14ac:dyDescent="0.2">
      <c r="B16" s="2" t="s">
        <v>19</v>
      </c>
      <c r="C16" s="2">
        <v>18</v>
      </c>
      <c r="D16" s="5">
        <f>C16*'Valores y Totales'!C16</f>
        <v>72</v>
      </c>
      <c r="E16" s="2">
        <f t="shared" si="0"/>
        <v>18</v>
      </c>
      <c r="F16"/>
      <c r="G16"/>
      <c r="H16"/>
    </row>
    <row r="17" spans="2:8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  <c r="F17"/>
      <c r="G17"/>
      <c r="H17"/>
    </row>
    <row r="18" spans="2:8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  <c r="F18"/>
      <c r="G18"/>
      <c r="H18"/>
    </row>
    <row r="19" spans="2:8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  <c r="F19"/>
      <c r="G19"/>
      <c r="H19"/>
    </row>
    <row r="20" spans="2:8" x14ac:dyDescent="0.2">
      <c r="B20" s="2" t="s">
        <v>23</v>
      </c>
      <c r="C20" s="2">
        <v>270</v>
      </c>
      <c r="D20" s="5">
        <f>C20*'Valores y Totales'!C20</f>
        <v>621</v>
      </c>
      <c r="E20" s="2">
        <f t="shared" si="0"/>
        <v>270</v>
      </c>
      <c r="F20"/>
      <c r="G20"/>
      <c r="H20"/>
    </row>
    <row r="21" spans="2:8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  <c r="F21"/>
      <c r="G21"/>
      <c r="H21"/>
    </row>
    <row r="22" spans="2:8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  <c r="F22"/>
      <c r="G22"/>
      <c r="H22"/>
    </row>
    <row r="23" spans="2:8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  <c r="F23"/>
      <c r="G23"/>
      <c r="H23"/>
    </row>
    <row r="24" spans="2:8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  <c r="F24"/>
      <c r="G24"/>
      <c r="H24"/>
    </row>
    <row r="25" spans="2:8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  <c r="F25"/>
      <c r="G25"/>
      <c r="H25"/>
    </row>
    <row r="26" spans="2:8" x14ac:dyDescent="0.2">
      <c r="B26" s="2" t="s">
        <v>29</v>
      </c>
      <c r="C26" s="2">
        <v>200</v>
      </c>
      <c r="D26" s="5">
        <f>C26*'Valores y Totales'!C26</f>
        <v>1600</v>
      </c>
      <c r="E26" s="2">
        <f t="shared" si="0"/>
        <v>200</v>
      </c>
      <c r="F26"/>
      <c r="G26"/>
      <c r="H26"/>
    </row>
    <row r="27" spans="2:8" x14ac:dyDescent="0.2">
      <c r="B27" s="2" t="s">
        <v>42</v>
      </c>
      <c r="C27" s="2">
        <v>0</v>
      </c>
      <c r="D27" s="5">
        <f>C27*'Valores y Totales'!C27</f>
        <v>0</v>
      </c>
      <c r="E27" s="2">
        <f t="shared" si="0"/>
        <v>0</v>
      </c>
      <c r="F27"/>
      <c r="G27"/>
      <c r="H27"/>
    </row>
    <row r="28" spans="2:8" x14ac:dyDescent="0.2">
      <c r="B28" s="27" t="s">
        <v>43</v>
      </c>
      <c r="C28" s="2">
        <v>0</v>
      </c>
      <c r="D28" s="5">
        <f>C28*'Valores y Totales'!C28</f>
        <v>0</v>
      </c>
      <c r="E28" s="2">
        <f t="shared" si="0"/>
        <v>0</v>
      </c>
      <c r="F28"/>
      <c r="G28"/>
      <c r="H28"/>
    </row>
    <row r="29" spans="2:8" x14ac:dyDescent="0.2">
      <c r="B29" s="2" t="s">
        <v>44</v>
      </c>
      <c r="C29" s="2">
        <v>0</v>
      </c>
      <c r="D29" s="5">
        <f>C29*'Valores y Totales'!C29</f>
        <v>0</v>
      </c>
      <c r="E29" s="2">
        <f t="shared" si="0"/>
        <v>0</v>
      </c>
      <c r="F29"/>
      <c r="G29"/>
      <c r="H29"/>
    </row>
    <row r="30" spans="2:8" x14ac:dyDescent="0.2">
      <c r="B30" s="2" t="s">
        <v>45</v>
      </c>
      <c r="C30" s="2">
        <v>0</v>
      </c>
      <c r="D30" s="5">
        <f>C30*'Valores y Totales'!C30</f>
        <v>0</v>
      </c>
      <c r="E30" s="2">
        <f t="shared" si="0"/>
        <v>0</v>
      </c>
      <c r="F30"/>
      <c r="G30"/>
      <c r="H30"/>
    </row>
    <row r="31" spans="2:8" x14ac:dyDescent="0.2">
      <c r="B31" s="2" t="s">
        <v>46</v>
      </c>
      <c r="C31" s="2">
        <v>1000</v>
      </c>
      <c r="D31" s="5">
        <f>C31*'Valores y Totales'!C31</f>
        <v>6000</v>
      </c>
      <c r="E31" s="2">
        <f t="shared" si="0"/>
        <v>1000</v>
      </c>
      <c r="F31"/>
      <c r="G31"/>
      <c r="H31"/>
    </row>
    <row r="32" spans="2:8" x14ac:dyDescent="0.2">
      <c r="F32"/>
      <c r="G32"/>
      <c r="H32"/>
    </row>
    <row r="33" spans="2:8" x14ac:dyDescent="0.2">
      <c r="F33"/>
      <c r="G33"/>
      <c r="H33"/>
    </row>
    <row r="34" spans="2:8" x14ac:dyDescent="0.2">
      <c r="F34"/>
      <c r="G34"/>
      <c r="H34"/>
    </row>
    <row r="35" spans="2:8" x14ac:dyDescent="0.2">
      <c r="F35"/>
      <c r="G35"/>
      <c r="H35"/>
    </row>
    <row r="36" spans="2:8" x14ac:dyDescent="0.2">
      <c r="C36" s="9" t="s">
        <v>30</v>
      </c>
      <c r="D36" s="9" t="s">
        <v>31</v>
      </c>
      <c r="F36"/>
      <c r="G36"/>
      <c r="H36"/>
    </row>
    <row r="37" spans="2:8" x14ac:dyDescent="0.2">
      <c r="B37" s="3" t="s">
        <v>48</v>
      </c>
      <c r="C37" s="10">
        <v>1</v>
      </c>
      <c r="D37" s="11">
        <f>C37*G$1</f>
        <v>1</v>
      </c>
      <c r="F37"/>
      <c r="G37"/>
      <c r="H37"/>
    </row>
    <row r="38" spans="2:8" x14ac:dyDescent="0.2">
      <c r="B38" s="3" t="s">
        <v>33</v>
      </c>
      <c r="C38" s="13">
        <f>SUM(D2:D31)</f>
        <v>20963.5</v>
      </c>
      <c r="D38" s="12">
        <f>C38*G$1</f>
        <v>20963.5</v>
      </c>
      <c r="F38"/>
      <c r="G38"/>
      <c r="H38"/>
    </row>
    <row r="39" spans="2:8" x14ac:dyDescent="0.2">
      <c r="B39" s="3"/>
      <c r="C39" s="13" t="s">
        <v>201</v>
      </c>
      <c r="D39" s="14"/>
      <c r="F39"/>
      <c r="G39"/>
      <c r="H39"/>
    </row>
    <row r="40" spans="2:8" x14ac:dyDescent="0.2">
      <c r="B40" s="3"/>
      <c r="C40" s="15"/>
      <c r="D40" s="16"/>
      <c r="F40"/>
      <c r="G40"/>
      <c r="H40"/>
    </row>
    <row r="41" spans="2:8" x14ac:dyDescent="0.2">
      <c r="F41"/>
      <c r="G41"/>
      <c r="H41"/>
    </row>
    <row r="42" spans="2:8" x14ac:dyDescent="0.2">
      <c r="F42"/>
      <c r="G42"/>
      <c r="H42"/>
    </row>
    <row r="43" spans="2:8" x14ac:dyDescent="0.2">
      <c r="F43"/>
      <c r="G43"/>
      <c r="H43"/>
    </row>
    <row r="44" spans="2:8" x14ac:dyDescent="0.2">
      <c r="F44"/>
      <c r="G44"/>
      <c r="H44"/>
    </row>
    <row r="45" spans="2:8" x14ac:dyDescent="0.2">
      <c r="F45"/>
      <c r="G45"/>
      <c r="H45"/>
    </row>
    <row r="46" spans="2:8" x14ac:dyDescent="0.2">
      <c r="F46"/>
      <c r="G46"/>
      <c r="H46"/>
    </row>
    <row r="47" spans="2:8" x14ac:dyDescent="0.2">
      <c r="F47"/>
      <c r="G47"/>
      <c r="H47"/>
    </row>
    <row r="48" spans="2:8" x14ac:dyDescent="0.2">
      <c r="F48"/>
      <c r="G48"/>
      <c r="H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1:J56"/>
  <sheetViews>
    <sheetView workbookViewId="0">
      <selection activeCell="C6" sqref="C6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style="2" bestFit="1" customWidth="1"/>
    <col min="7" max="8" width="11.43359375" style="2"/>
  </cols>
  <sheetData>
    <row r="1" spans="2:10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  <c r="H1"/>
      <c r="J1" s="26"/>
    </row>
    <row r="2" spans="2:10" x14ac:dyDescent="0.2">
      <c r="B2" s="2" t="s">
        <v>5</v>
      </c>
      <c r="C2" s="1">
        <v>315</v>
      </c>
      <c r="D2" s="5">
        <f>C2*'Valores y Totales'!C2</f>
        <v>3465</v>
      </c>
      <c r="E2" s="2">
        <f t="shared" ref="E2:E31" si="0">G$1*C2</f>
        <v>315</v>
      </c>
      <c r="F2"/>
      <c r="G2"/>
      <c r="H2"/>
      <c r="J2" s="26"/>
    </row>
    <row r="3" spans="2:10" x14ac:dyDescent="0.2">
      <c r="B3" s="2" t="s">
        <v>6</v>
      </c>
      <c r="C3" s="1">
        <v>575</v>
      </c>
      <c r="D3" s="5">
        <f>C3*'Valores y Totales'!C3</f>
        <v>632.5</v>
      </c>
      <c r="E3" s="2">
        <f t="shared" si="0"/>
        <v>575</v>
      </c>
      <c r="F3"/>
      <c r="G3"/>
      <c r="H3"/>
    </row>
    <row r="4" spans="2:10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  <c r="F4"/>
      <c r="G4"/>
      <c r="H4"/>
    </row>
    <row r="5" spans="2:10" x14ac:dyDescent="0.2">
      <c r="B5" s="2" t="s">
        <v>8</v>
      </c>
      <c r="C5" s="1">
        <v>60</v>
      </c>
      <c r="D5" s="5">
        <f>C5*'Valores y Totales'!C5</f>
        <v>1500</v>
      </c>
      <c r="E5" s="2">
        <f t="shared" si="0"/>
        <v>60</v>
      </c>
      <c r="F5"/>
      <c r="G5"/>
      <c r="H5"/>
    </row>
    <row r="6" spans="2:10" x14ac:dyDescent="0.2">
      <c r="B6" s="1" t="s">
        <v>9</v>
      </c>
      <c r="C6" s="1">
        <v>5</v>
      </c>
      <c r="D6" s="5">
        <f>C6*'Valores y Totales'!B6</f>
        <v>1050</v>
      </c>
      <c r="E6" s="2">
        <f t="shared" si="0"/>
        <v>5</v>
      </c>
      <c r="F6"/>
      <c r="G6"/>
      <c r="H6"/>
    </row>
    <row r="7" spans="2:10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  <c r="F7"/>
      <c r="G7"/>
      <c r="H7"/>
    </row>
    <row r="8" spans="2:10" x14ac:dyDescent="0.2">
      <c r="B8" s="2" t="s">
        <v>11</v>
      </c>
      <c r="C8" s="2">
        <v>30</v>
      </c>
      <c r="D8" s="5">
        <f>C8*'Valores y Totales'!C8</f>
        <v>63</v>
      </c>
      <c r="E8" s="2">
        <f t="shared" si="0"/>
        <v>30</v>
      </c>
      <c r="F8"/>
      <c r="G8"/>
      <c r="H8"/>
    </row>
    <row r="9" spans="2:10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  <c r="F9"/>
      <c r="G9"/>
      <c r="H9"/>
    </row>
    <row r="10" spans="2:10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  <c r="F10"/>
      <c r="G10"/>
      <c r="H10"/>
    </row>
    <row r="11" spans="2:10" x14ac:dyDescent="0.2">
      <c r="B11" s="2" t="s">
        <v>14</v>
      </c>
      <c r="C11" s="2">
        <v>1000</v>
      </c>
      <c r="D11" s="5">
        <f>C11*'Valores y Totales'!C11</f>
        <v>5000</v>
      </c>
      <c r="E11" s="2">
        <f t="shared" si="0"/>
        <v>1000</v>
      </c>
      <c r="F11"/>
      <c r="G11"/>
      <c r="H11"/>
    </row>
    <row r="12" spans="2:10" x14ac:dyDescent="0.2">
      <c r="B12" s="2" t="s">
        <v>15</v>
      </c>
      <c r="C12" s="2">
        <v>350</v>
      </c>
      <c r="D12" s="5">
        <f>C12*'Valores y Totales'!C12</f>
        <v>3500</v>
      </c>
      <c r="E12" s="2">
        <f t="shared" si="0"/>
        <v>350</v>
      </c>
      <c r="F12"/>
      <c r="G12"/>
      <c r="H12"/>
    </row>
    <row r="13" spans="2:10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  <c r="F13"/>
      <c r="G13"/>
      <c r="H13"/>
    </row>
    <row r="14" spans="2:10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  <c r="F14"/>
      <c r="G14"/>
      <c r="H14"/>
    </row>
    <row r="15" spans="2:10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  <c r="F15"/>
      <c r="G15"/>
      <c r="H15"/>
    </row>
    <row r="16" spans="2:10" x14ac:dyDescent="0.2">
      <c r="B16" s="2" t="s">
        <v>19</v>
      </c>
      <c r="C16" s="2">
        <v>18</v>
      </c>
      <c r="D16" s="5">
        <f>C16*'Valores y Totales'!C16</f>
        <v>72</v>
      </c>
      <c r="E16" s="2">
        <f t="shared" si="0"/>
        <v>18</v>
      </c>
      <c r="F16"/>
      <c r="G16"/>
      <c r="H16"/>
    </row>
    <row r="17" spans="2:8" x14ac:dyDescent="0.2">
      <c r="B17" s="2" t="s">
        <v>20</v>
      </c>
      <c r="C17" s="2">
        <v>160</v>
      </c>
      <c r="D17" s="5">
        <f>C17*'Valores y Totales'!C17</f>
        <v>400</v>
      </c>
      <c r="E17" s="2">
        <f t="shared" si="0"/>
        <v>160</v>
      </c>
      <c r="F17"/>
      <c r="G17"/>
      <c r="H17"/>
    </row>
    <row r="18" spans="2:8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  <c r="F18"/>
      <c r="G18"/>
      <c r="H18"/>
    </row>
    <row r="19" spans="2:8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  <c r="F19"/>
      <c r="G19"/>
      <c r="H19"/>
    </row>
    <row r="20" spans="2:8" x14ac:dyDescent="0.2">
      <c r="B20" s="2" t="s">
        <v>23</v>
      </c>
      <c r="C20" s="2">
        <v>270</v>
      </c>
      <c r="D20" s="5">
        <f>C20*'Valores y Totales'!C20</f>
        <v>621</v>
      </c>
      <c r="E20" s="2">
        <f t="shared" si="0"/>
        <v>270</v>
      </c>
      <c r="F20"/>
      <c r="G20"/>
      <c r="H20"/>
    </row>
    <row r="21" spans="2:8" x14ac:dyDescent="0.2">
      <c r="B21" s="2" t="s">
        <v>41</v>
      </c>
      <c r="C21" s="2">
        <v>1000</v>
      </c>
      <c r="D21" s="5">
        <f>C21*'Valores y Totales'!C21</f>
        <v>10000</v>
      </c>
      <c r="E21" s="2">
        <f t="shared" si="0"/>
        <v>1000</v>
      </c>
      <c r="F21"/>
      <c r="G21"/>
      <c r="H21"/>
    </row>
    <row r="22" spans="2:8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  <c r="F22"/>
      <c r="G22"/>
      <c r="H22"/>
    </row>
    <row r="23" spans="2:8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  <c r="F23"/>
      <c r="G23"/>
      <c r="H23"/>
    </row>
    <row r="24" spans="2:8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  <c r="F24"/>
      <c r="G24"/>
      <c r="H24"/>
    </row>
    <row r="25" spans="2:8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  <c r="F25"/>
      <c r="G25"/>
      <c r="H25"/>
    </row>
    <row r="26" spans="2:8" x14ac:dyDescent="0.2">
      <c r="B26" s="2" t="s">
        <v>29</v>
      </c>
      <c r="C26" s="2">
        <v>200</v>
      </c>
      <c r="D26" s="5">
        <f>C26*'Valores y Totales'!C26</f>
        <v>1600</v>
      </c>
      <c r="E26" s="2">
        <f t="shared" si="0"/>
        <v>200</v>
      </c>
      <c r="F26"/>
      <c r="G26"/>
      <c r="H26"/>
    </row>
    <row r="27" spans="2:8" x14ac:dyDescent="0.2">
      <c r="B27" s="2" t="s">
        <v>42</v>
      </c>
      <c r="C27" s="2">
        <v>0</v>
      </c>
      <c r="D27" s="5">
        <f>C27*'Valores y Totales'!C27</f>
        <v>0</v>
      </c>
      <c r="E27" s="2">
        <f t="shared" si="0"/>
        <v>0</v>
      </c>
      <c r="F27"/>
      <c r="G27"/>
      <c r="H27"/>
    </row>
    <row r="28" spans="2:8" x14ac:dyDescent="0.2">
      <c r="B28" s="27" t="s">
        <v>43</v>
      </c>
      <c r="C28" s="2">
        <v>0</v>
      </c>
      <c r="D28" s="5">
        <f>C28*'Valores y Totales'!C28</f>
        <v>0</v>
      </c>
      <c r="E28" s="2">
        <f t="shared" si="0"/>
        <v>0</v>
      </c>
      <c r="F28"/>
      <c r="G28"/>
      <c r="H28"/>
    </row>
    <row r="29" spans="2:8" x14ac:dyDescent="0.2">
      <c r="B29" s="2" t="s">
        <v>44</v>
      </c>
      <c r="C29" s="2">
        <v>0</v>
      </c>
      <c r="D29" s="5">
        <f>C29*'Valores y Totales'!C29</f>
        <v>0</v>
      </c>
      <c r="E29" s="2">
        <f t="shared" si="0"/>
        <v>0</v>
      </c>
      <c r="F29"/>
      <c r="G29"/>
      <c r="H29"/>
    </row>
    <row r="30" spans="2:8" x14ac:dyDescent="0.2">
      <c r="B30" s="2" t="s">
        <v>45</v>
      </c>
      <c r="C30" s="2">
        <v>0</v>
      </c>
      <c r="D30" s="5">
        <f>C30*'Valores y Totales'!C30</f>
        <v>0</v>
      </c>
      <c r="E30" s="2">
        <f t="shared" si="0"/>
        <v>0</v>
      </c>
      <c r="F30"/>
      <c r="G30"/>
      <c r="H30"/>
    </row>
    <row r="31" spans="2:8" x14ac:dyDescent="0.2">
      <c r="B31" s="2" t="s">
        <v>46</v>
      </c>
      <c r="C31" s="2">
        <v>1000</v>
      </c>
      <c r="D31" s="5">
        <f>C31*'Valores y Totales'!C31</f>
        <v>6000</v>
      </c>
      <c r="E31" s="2">
        <f t="shared" si="0"/>
        <v>1000</v>
      </c>
      <c r="F31"/>
      <c r="G31"/>
      <c r="H31"/>
    </row>
    <row r="32" spans="2:8" x14ac:dyDescent="0.2">
      <c r="F32"/>
      <c r="G32"/>
      <c r="H32"/>
    </row>
    <row r="33" spans="2:8" x14ac:dyDescent="0.2">
      <c r="F33"/>
      <c r="G33"/>
      <c r="H33"/>
    </row>
    <row r="34" spans="2:8" x14ac:dyDescent="0.2">
      <c r="F34"/>
      <c r="G34"/>
      <c r="H34"/>
    </row>
    <row r="35" spans="2:8" x14ac:dyDescent="0.2">
      <c r="F35"/>
      <c r="G35"/>
      <c r="H35"/>
    </row>
    <row r="36" spans="2:8" x14ac:dyDescent="0.2">
      <c r="C36" s="9" t="s">
        <v>30</v>
      </c>
      <c r="D36" s="9" t="s">
        <v>31</v>
      </c>
      <c r="F36"/>
      <c r="G36"/>
      <c r="H36"/>
    </row>
    <row r="37" spans="2:8" x14ac:dyDescent="0.2">
      <c r="B37" s="3" t="s">
        <v>48</v>
      </c>
      <c r="C37" s="10">
        <v>1</v>
      </c>
      <c r="D37" s="11">
        <f>C37*G$1</f>
        <v>1</v>
      </c>
      <c r="F37"/>
      <c r="G37"/>
      <c r="H37"/>
    </row>
    <row r="38" spans="2:8" x14ac:dyDescent="0.2">
      <c r="B38" s="3" t="s">
        <v>33</v>
      </c>
      <c r="C38" s="13">
        <f>SUM(D2:D31)</f>
        <v>34463.5</v>
      </c>
      <c r="D38" s="12">
        <f>C38*G$1</f>
        <v>34463.5</v>
      </c>
      <c r="F38"/>
      <c r="G38"/>
      <c r="H38"/>
    </row>
    <row r="39" spans="2:8" x14ac:dyDescent="0.2">
      <c r="B39" s="3"/>
      <c r="C39" s="13" t="s">
        <v>201</v>
      </c>
      <c r="D39" s="14"/>
      <c r="F39"/>
      <c r="G39"/>
      <c r="H39"/>
    </row>
    <row r="40" spans="2:8" x14ac:dyDescent="0.2">
      <c r="B40" s="3"/>
      <c r="C40" s="15"/>
      <c r="D40" s="16"/>
      <c r="F40"/>
      <c r="G40"/>
      <c r="H40"/>
    </row>
    <row r="41" spans="2:8" x14ac:dyDescent="0.2">
      <c r="F41"/>
      <c r="G41"/>
      <c r="H41"/>
    </row>
    <row r="42" spans="2:8" x14ac:dyDescent="0.2">
      <c r="F42"/>
      <c r="G42"/>
      <c r="H42"/>
    </row>
    <row r="43" spans="2:8" x14ac:dyDescent="0.2">
      <c r="F43"/>
      <c r="G43"/>
      <c r="H43"/>
    </row>
    <row r="44" spans="2:8" x14ac:dyDescent="0.2">
      <c r="F44"/>
      <c r="G44"/>
      <c r="H44"/>
    </row>
    <row r="45" spans="2:8" x14ac:dyDescent="0.2">
      <c r="F45"/>
      <c r="G45"/>
      <c r="H45"/>
    </row>
    <row r="46" spans="2:8" x14ac:dyDescent="0.2">
      <c r="F46"/>
      <c r="G46"/>
      <c r="H46"/>
    </row>
    <row r="47" spans="2:8" x14ac:dyDescent="0.2">
      <c r="F47"/>
      <c r="G47"/>
      <c r="H47"/>
    </row>
    <row r="48" spans="2:8" x14ac:dyDescent="0.2">
      <c r="F48"/>
      <c r="G48"/>
      <c r="H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G32"/>
  <sheetViews>
    <sheetView topLeftCell="A13" workbookViewId="0">
      <selection activeCell="D19" sqref="D19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150</v>
      </c>
      <c r="D9" s="5">
        <f>C9*'Valores y Totales'!C9</f>
        <v>3900</v>
      </c>
      <c r="E9" s="2">
        <f t="shared" si="0"/>
        <v>150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400</v>
      </c>
      <c r="D11" s="5">
        <f>C11*'Valores y Totales'!C11</f>
        <v>2000</v>
      </c>
      <c r="E11" s="2">
        <f t="shared" si="0"/>
        <v>400</v>
      </c>
    </row>
    <row r="12" spans="2:7" x14ac:dyDescent="0.2">
      <c r="B12" s="2" t="s">
        <v>15</v>
      </c>
      <c r="C12" s="2">
        <v>120</v>
      </c>
      <c r="D12" s="5">
        <f>C12*'Valores y Totales'!C12</f>
        <v>1200</v>
      </c>
      <c r="E12" s="2">
        <f t="shared" si="0"/>
        <v>120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30</v>
      </c>
      <c r="D18" s="5">
        <f>C18*'Valores y Totales'!C18</f>
        <v>400</v>
      </c>
      <c r="E18" s="2">
        <f t="shared" si="0"/>
        <v>30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v>1</v>
      </c>
      <c r="F29" s="25"/>
    </row>
    <row r="30" spans="2:6" x14ac:dyDescent="0.2">
      <c r="B30" s="3" t="s">
        <v>33</v>
      </c>
      <c r="C30" s="13">
        <f>SUM(D2:D26)</f>
        <v>7500</v>
      </c>
      <c r="D30" s="12">
        <f>C30*G$1</f>
        <v>7500</v>
      </c>
    </row>
    <row r="31" spans="2:6" x14ac:dyDescent="0.2">
      <c r="B31" s="3" t="s">
        <v>34</v>
      </c>
      <c r="C31" s="13">
        <v>0</v>
      </c>
      <c r="D31" s="14">
        <v>0</v>
      </c>
    </row>
    <row r="32" spans="2:6" x14ac:dyDescent="0.2">
      <c r="B32" s="3" t="s">
        <v>35</v>
      </c>
      <c r="C32" s="15">
        <f>C30/C29</f>
        <v>7500</v>
      </c>
      <c r="D32" s="16">
        <f>C32</f>
        <v>7500</v>
      </c>
      <c r="F32" s="6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G33"/>
  <sheetViews>
    <sheetView workbookViewId="0">
      <selection activeCell="C2" sqref="C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450</v>
      </c>
      <c r="D3" s="5">
        <f>C3*'Valores y Totales'!C3</f>
        <v>495.00000000000006</v>
      </c>
      <c r="E3" s="2">
        <f t="shared" ref="E3:E26" si="0">G$1*C3</f>
        <v>450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400</v>
      </c>
      <c r="D7" s="5">
        <f>C7*'Valores y Totales'!C7</f>
        <v>560</v>
      </c>
      <c r="E7" s="2">
        <f t="shared" si="0"/>
        <v>400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150</v>
      </c>
      <c r="D10" s="5">
        <f>C10*'Valores y Totales'!C10</f>
        <v>3300</v>
      </c>
      <c r="E10" s="2">
        <f t="shared" si="0"/>
        <v>150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150</v>
      </c>
      <c r="D24" s="5">
        <f>C24*'Valores y Totales'!C24</f>
        <v>723.15</v>
      </c>
      <c r="E24" s="2">
        <f t="shared" si="0"/>
        <v>150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x14ac:dyDescent="0.2">
      <c r="C28" s="9" t="s">
        <v>30</v>
      </c>
      <c r="D28" s="9" t="s">
        <v>31</v>
      </c>
    </row>
    <row r="29" spans="2:6" x14ac:dyDescent="0.2">
      <c r="B29" s="3" t="s">
        <v>48</v>
      </c>
      <c r="C29" s="10">
        <v>100</v>
      </c>
      <c r="D29" s="11">
        <f>C29*G$1</f>
        <v>100</v>
      </c>
      <c r="F29" s="25"/>
    </row>
    <row r="30" spans="2:6" x14ac:dyDescent="0.2">
      <c r="B30" s="3" t="s">
        <v>33</v>
      </c>
      <c r="C30" s="13">
        <f>SUM(D2:D26)</f>
        <v>7758.15</v>
      </c>
      <c r="D30" s="12">
        <f>C30*G$1</f>
        <v>7758.15</v>
      </c>
    </row>
    <row r="31" spans="2:6" x14ac:dyDescent="0.2">
      <c r="B31" s="3" t="s">
        <v>34</v>
      </c>
      <c r="C31" s="13">
        <f>C30/C29*12</f>
        <v>930.97799999999984</v>
      </c>
      <c r="D31" s="14">
        <f>C31</f>
        <v>930.97799999999984</v>
      </c>
    </row>
    <row r="32" spans="2:6" x14ac:dyDescent="0.2">
      <c r="B32" s="3" t="s">
        <v>35</v>
      </c>
      <c r="C32" s="15">
        <f>C30/C29</f>
        <v>77.581499999999991</v>
      </c>
      <c r="D32" s="16">
        <f>C32</f>
        <v>77.581499999999991</v>
      </c>
    </row>
    <row r="33" spans="2:2" x14ac:dyDescent="0.2">
      <c r="B33" t="s">
        <v>53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1:G32"/>
  <sheetViews>
    <sheetView topLeftCell="A22" workbookViewId="0">
      <selection activeCell="F30" sqref="F30"/>
    </sheetView>
  </sheetViews>
  <sheetFormatPr defaultColWidth="9.14453125" defaultRowHeight="15" x14ac:dyDescent="0.2"/>
  <cols>
    <col min="2" max="2" width="19.50390625" customWidth="1"/>
    <col min="3" max="3" width="11.16406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9" t="s">
        <v>0</v>
      </c>
      <c r="C1" s="9" t="s">
        <v>1</v>
      </c>
      <c r="D1" s="9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7" x14ac:dyDescent="0.2">
      <c r="B3" s="2" t="s">
        <v>6</v>
      </c>
      <c r="C3" s="1">
        <v>500</v>
      </c>
      <c r="D3" s="5">
        <f>C3*'Valores y Totales'!C3</f>
        <v>550</v>
      </c>
      <c r="E3" s="2">
        <f t="shared" ref="E3:E26" si="0">G$1*C3</f>
        <v>500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1</v>
      </c>
      <c r="D6" s="5">
        <f>C6*'Valores y Totales'!C6</f>
        <v>210</v>
      </c>
      <c r="E6" s="2">
        <f t="shared" si="0"/>
        <v>1</v>
      </c>
    </row>
    <row r="7" spans="2:7" x14ac:dyDescent="0.2">
      <c r="B7" s="2" t="s">
        <v>10</v>
      </c>
      <c r="C7" s="2">
        <v>220</v>
      </c>
      <c r="D7" s="5">
        <f>C7*'Valores y Totales'!C7</f>
        <v>308</v>
      </c>
      <c r="E7" s="2">
        <f t="shared" si="0"/>
        <v>220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5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5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5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5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5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5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5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5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5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5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5" ht="15.75" thickBot="1" x14ac:dyDescent="0.25">
      <c r="C28" s="9" t="s">
        <v>30</v>
      </c>
      <c r="D28" s="9" t="s">
        <v>31</v>
      </c>
    </row>
    <row r="29" spans="2:5" x14ac:dyDescent="0.2">
      <c r="B29" s="8" t="s">
        <v>32</v>
      </c>
      <c r="C29" s="10">
        <v>40</v>
      </c>
      <c r="D29" s="11">
        <f>C29*G$1</f>
        <v>40</v>
      </c>
    </row>
    <row r="30" spans="2:5" x14ac:dyDescent="0.2">
      <c r="B30" s="8" t="s">
        <v>33</v>
      </c>
      <c r="C30" s="13">
        <f>SUM(D2:D20)</f>
        <v>3818</v>
      </c>
      <c r="D30" s="12">
        <f>C30*G$1</f>
        <v>3818</v>
      </c>
    </row>
    <row r="31" spans="2:5" x14ac:dyDescent="0.2">
      <c r="B31" s="8" t="s">
        <v>34</v>
      </c>
      <c r="C31" s="13">
        <f>C30/C29*12</f>
        <v>1145.4000000000001</v>
      </c>
      <c r="D31" s="14">
        <f>C31</f>
        <v>1145.4000000000001</v>
      </c>
    </row>
    <row r="32" spans="2:5" ht="15.75" thickBot="1" x14ac:dyDescent="0.25">
      <c r="B32" s="8" t="s">
        <v>35</v>
      </c>
      <c r="C32" s="15">
        <f>C30/C29</f>
        <v>95.45</v>
      </c>
      <c r="D32" s="16">
        <f>C32</f>
        <v>95.45</v>
      </c>
    </row>
  </sheetData>
  <pageMargins left="0.7" right="0.7" top="0.75" bottom="0.75" header="0.3" footer="0.3"/>
  <pageSetup orientation="portrait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F3:L14"/>
  <sheetViews>
    <sheetView workbookViewId="0">
      <selection activeCell="H12" sqref="H12"/>
    </sheetView>
  </sheetViews>
  <sheetFormatPr defaultColWidth="10.76171875" defaultRowHeight="15" x14ac:dyDescent="0.2"/>
  <cols>
    <col min="6" max="6" width="22.8671875" bestFit="1" customWidth="1"/>
  </cols>
  <sheetData>
    <row r="3" spans="6:12" x14ac:dyDescent="0.2">
      <c r="F3" t="s">
        <v>202</v>
      </c>
      <c r="G3">
        <v>100</v>
      </c>
      <c r="H3">
        <v>1</v>
      </c>
      <c r="I3">
        <f>H3*G3</f>
        <v>100</v>
      </c>
      <c r="K3" t="s">
        <v>202</v>
      </c>
      <c r="L3" s="91">
        <v>600</v>
      </c>
    </row>
    <row r="4" spans="6:12" x14ac:dyDescent="0.2">
      <c r="F4" s="92" t="s">
        <v>203</v>
      </c>
      <c r="G4" s="92">
        <v>250</v>
      </c>
      <c r="H4" s="92">
        <v>1</v>
      </c>
      <c r="I4" s="92">
        <f t="shared" ref="I4:I8" si="0">H4*G4</f>
        <v>250</v>
      </c>
      <c r="K4" t="s">
        <v>204</v>
      </c>
      <c r="L4">
        <v>750</v>
      </c>
    </row>
    <row r="5" spans="6:12" x14ac:dyDescent="0.2">
      <c r="F5" t="s">
        <v>205</v>
      </c>
      <c r="G5">
        <v>19</v>
      </c>
      <c r="H5">
        <v>3</v>
      </c>
      <c r="I5">
        <f t="shared" si="0"/>
        <v>57</v>
      </c>
    </row>
    <row r="6" spans="6:12" x14ac:dyDescent="0.2">
      <c r="F6" t="s">
        <v>206</v>
      </c>
      <c r="G6">
        <v>52</v>
      </c>
      <c r="H6">
        <v>3</v>
      </c>
      <c r="I6">
        <f t="shared" si="0"/>
        <v>156</v>
      </c>
    </row>
    <row r="7" spans="6:12" x14ac:dyDescent="0.2">
      <c r="F7" t="s">
        <v>207</v>
      </c>
      <c r="G7">
        <v>27</v>
      </c>
      <c r="H7">
        <v>3</v>
      </c>
      <c r="I7">
        <f t="shared" si="0"/>
        <v>81</v>
      </c>
    </row>
    <row r="8" spans="6:12" x14ac:dyDescent="0.2">
      <c r="F8" t="s">
        <v>208</v>
      </c>
      <c r="G8">
        <v>27</v>
      </c>
      <c r="H8">
        <v>3</v>
      </c>
      <c r="I8">
        <f t="shared" si="0"/>
        <v>81</v>
      </c>
    </row>
    <row r="9" spans="6:12" x14ac:dyDescent="0.2">
      <c r="F9" t="s">
        <v>209</v>
      </c>
      <c r="G9">
        <f>(3.26)*3+10</f>
        <v>19.78</v>
      </c>
      <c r="H9">
        <v>1</v>
      </c>
      <c r="I9">
        <v>25</v>
      </c>
    </row>
    <row r="10" spans="6:12" x14ac:dyDescent="0.2">
      <c r="F10" t="s">
        <v>210</v>
      </c>
      <c r="G10">
        <f>(3.26+2.5)*3</f>
        <v>17.28</v>
      </c>
      <c r="H10">
        <v>1</v>
      </c>
      <c r="I10">
        <v>25</v>
      </c>
    </row>
    <row r="11" spans="6:12" x14ac:dyDescent="0.2">
      <c r="F11" t="s">
        <v>211</v>
      </c>
      <c r="H11">
        <v>1</v>
      </c>
      <c r="I11">
        <v>7</v>
      </c>
    </row>
    <row r="12" spans="6:12" x14ac:dyDescent="0.2">
      <c r="F12" t="s">
        <v>212</v>
      </c>
      <c r="H12">
        <v>6</v>
      </c>
      <c r="I12">
        <v>36</v>
      </c>
    </row>
    <row r="14" spans="6:12" x14ac:dyDescent="0.2">
      <c r="I14" s="92">
        <f>SUM(I3:I13)</f>
        <v>818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1:G32"/>
  <sheetViews>
    <sheetView topLeftCell="A8" workbookViewId="0">
      <selection activeCell="A27" sqref="A27:XFD27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200</v>
      </c>
      <c r="D2" s="5">
        <f>C2*'Valores y Totales'!C2</f>
        <v>2200</v>
      </c>
      <c r="E2" s="2">
        <f>G$1*C2</f>
        <v>200</v>
      </c>
    </row>
    <row r="3" spans="2:7" x14ac:dyDescent="0.2">
      <c r="B3" s="2" t="s">
        <v>6</v>
      </c>
      <c r="C3" s="1">
        <v>400</v>
      </c>
      <c r="D3" s="5">
        <f>C3*'Valores y Totales'!C3</f>
        <v>440.00000000000006</v>
      </c>
      <c r="E3" s="2">
        <f t="shared" ref="E3:E26" si="0">G$1*C3</f>
        <v>400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50</v>
      </c>
      <c r="D5" s="5">
        <f>C5*'Valores y Totales'!C5</f>
        <v>1250</v>
      </c>
      <c r="E5" s="2">
        <f t="shared" si="0"/>
        <v>50</v>
      </c>
    </row>
    <row r="6" spans="2:7" x14ac:dyDescent="0.2">
      <c r="B6" s="1" t="s">
        <v>9</v>
      </c>
      <c r="C6" s="1">
        <v>2</v>
      </c>
      <c r="D6" s="5">
        <f>C6*'Valores y Totales'!B6</f>
        <v>420</v>
      </c>
      <c r="E6" s="2">
        <f t="shared" si="0"/>
        <v>2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15</v>
      </c>
      <c r="D16" s="5">
        <f>C16*'Valores y Totales'!C16</f>
        <v>60</v>
      </c>
      <c r="E16" s="2">
        <f t="shared" si="0"/>
        <v>15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400</v>
      </c>
      <c r="D20" s="5">
        <f>C20*'Valores y Totales'!C20</f>
        <v>919.99999999999989</v>
      </c>
      <c r="E20" s="2">
        <f t="shared" si="0"/>
        <v>400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150</v>
      </c>
      <c r="D26" s="5">
        <f>C26*'Valores y Totales'!C26</f>
        <v>1200</v>
      </c>
      <c r="E26" s="2">
        <f t="shared" si="0"/>
        <v>150</v>
      </c>
    </row>
    <row r="27" spans="2:6" x14ac:dyDescent="0.2">
      <c r="C27" s="9" t="s">
        <v>30</v>
      </c>
      <c r="D27" s="9" t="s">
        <v>31</v>
      </c>
    </row>
    <row r="28" spans="2:6" x14ac:dyDescent="0.2">
      <c r="B28" s="3" t="s">
        <v>48</v>
      </c>
      <c r="C28" s="10">
        <v>66</v>
      </c>
      <c r="D28" s="11">
        <f>C28*G$1</f>
        <v>66</v>
      </c>
      <c r="F28" s="25"/>
    </row>
    <row r="29" spans="2:6" x14ac:dyDescent="0.2">
      <c r="B29" s="3" t="s">
        <v>33</v>
      </c>
      <c r="C29" s="13">
        <f>SUM(D2:D26)</f>
        <v>6490</v>
      </c>
      <c r="D29" s="12">
        <f>C29*G$1</f>
        <v>6490</v>
      </c>
    </row>
    <row r="30" spans="2:6" x14ac:dyDescent="0.2">
      <c r="B30" s="3" t="s">
        <v>34</v>
      </c>
      <c r="C30" s="13">
        <f>C29/C28*12</f>
        <v>1180</v>
      </c>
      <c r="D30" s="14">
        <f>C30</f>
        <v>1180</v>
      </c>
    </row>
    <row r="31" spans="2:6" x14ac:dyDescent="0.2">
      <c r="B31" s="3" t="s">
        <v>35</v>
      </c>
      <c r="C31" s="15">
        <f>C29/C28</f>
        <v>98.333333333333329</v>
      </c>
      <c r="D31" s="16">
        <f>C31</f>
        <v>98.333333333333329</v>
      </c>
    </row>
    <row r="32" spans="2:6" x14ac:dyDescent="0.2">
      <c r="B32" t="s">
        <v>53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B1:G32"/>
  <sheetViews>
    <sheetView topLeftCell="A6" workbookViewId="0">
      <selection activeCell="C32" sqref="C32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300</v>
      </c>
      <c r="D2" s="5">
        <f>C2*'Valores y Totales'!C2</f>
        <v>3300</v>
      </c>
      <c r="E2" s="2">
        <f>G$1*C2</f>
        <v>300</v>
      </c>
    </row>
    <row r="3" spans="2:7" x14ac:dyDescent="0.2">
      <c r="B3" s="2" t="s">
        <v>6</v>
      </c>
      <c r="C3" s="1">
        <v>200</v>
      </c>
      <c r="D3" s="5">
        <f>C3*'Valores y Totales'!C3</f>
        <v>220.00000000000003</v>
      </c>
      <c r="E3" s="2">
        <f t="shared" ref="E3:E13" si="0">G$1*C3</f>
        <v>200</v>
      </c>
    </row>
    <row r="4" spans="2:7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6</v>
      </c>
      <c r="D6" s="5">
        <f>C6*'Valores y Totales'!B6</f>
        <v>1260</v>
      </c>
      <c r="E6" s="2">
        <f t="shared" si="0"/>
        <v>6</v>
      </c>
    </row>
    <row r="7" spans="2:7" x14ac:dyDescent="0.2">
      <c r="B7" s="2" t="s">
        <v>10</v>
      </c>
      <c r="C7" s="2">
        <v>300</v>
      </c>
      <c r="D7" s="5">
        <f>C7*'Valores y Totales'!C7</f>
        <v>420</v>
      </c>
      <c r="E7" s="2">
        <f t="shared" si="0"/>
        <v>300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360</v>
      </c>
      <c r="D9" s="5">
        <f>C9*'Valores y Totales'!C9</f>
        <v>9360</v>
      </c>
      <c r="E9" s="2">
        <f t="shared" si="0"/>
        <v>360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0</v>
      </c>
      <c r="D14" s="5">
        <f>C14*'Valores y Totales'!C14</f>
        <v>0</v>
      </c>
      <c r="E14" s="2">
        <f t="shared" ref="E14:E20" si="1">G$1*C14</f>
        <v>0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1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1"/>
        <v>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1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1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1"/>
        <v>0</v>
      </c>
    </row>
    <row r="20" spans="2:6" x14ac:dyDescent="0.2">
      <c r="B20" s="2" t="s">
        <v>23</v>
      </c>
      <c r="C20" s="2">
        <v>360</v>
      </c>
      <c r="D20" s="5">
        <f>C20*'Valores y Totales'!C20</f>
        <v>827.99999999999989</v>
      </c>
      <c r="E20" s="2">
        <f t="shared" si="1"/>
        <v>360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ref="E21:E26" si="2">G$1*C21</f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2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2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2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2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2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60</v>
      </c>
      <c r="D29" s="11">
        <f>C29*G$1</f>
        <v>60</v>
      </c>
      <c r="F29" s="25"/>
    </row>
    <row r="30" spans="2:6" x14ac:dyDescent="0.2">
      <c r="B30" s="3" t="s">
        <v>33</v>
      </c>
      <c r="C30" s="13">
        <f>SUM(D2:D26)</f>
        <v>15388</v>
      </c>
      <c r="D30" s="12">
        <f>C30*G$1</f>
        <v>15388</v>
      </c>
    </row>
    <row r="31" spans="2:6" x14ac:dyDescent="0.2">
      <c r="B31" s="3" t="s">
        <v>34</v>
      </c>
      <c r="C31" s="13"/>
      <c r="D31" s="14">
        <f>C31</f>
        <v>0</v>
      </c>
    </row>
    <row r="32" spans="2:6" ht="15.75" thickBot="1" x14ac:dyDescent="0.25">
      <c r="B32" s="3" t="s">
        <v>35</v>
      </c>
      <c r="C32" s="15">
        <f>C30/C29</f>
        <v>256.46666666666664</v>
      </c>
      <c r="D32" s="16">
        <f>C32</f>
        <v>256.46666666666664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1:I33"/>
  <sheetViews>
    <sheetView topLeftCell="A14" workbookViewId="0">
      <selection activeCell="I25" sqref="I25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7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7" x14ac:dyDescent="0.2">
      <c r="B2" s="2" t="s">
        <v>5</v>
      </c>
      <c r="C2" s="1">
        <v>0</v>
      </c>
      <c r="D2" s="5">
        <f>C2*'Valores y Totales'!C2</f>
        <v>0</v>
      </c>
      <c r="E2" s="2">
        <f>G$1*C2</f>
        <v>0</v>
      </c>
    </row>
    <row r="3" spans="2:7" x14ac:dyDescent="0.2">
      <c r="B3" s="2" t="s">
        <v>6</v>
      </c>
      <c r="C3" s="1">
        <v>0</v>
      </c>
      <c r="D3" s="5">
        <f>C3*'Valores y Totales'!C3</f>
        <v>0</v>
      </c>
      <c r="E3" s="2">
        <f t="shared" ref="E3:E26" si="0">G$1*C3</f>
        <v>0</v>
      </c>
    </row>
    <row r="4" spans="2:7" x14ac:dyDescent="0.2">
      <c r="B4" s="2" t="s">
        <v>7</v>
      </c>
      <c r="C4" s="1">
        <v>200</v>
      </c>
      <c r="D4" s="5">
        <f>C4*'Valores y Totales'!C4</f>
        <v>300</v>
      </c>
      <c r="E4" s="2">
        <f t="shared" si="0"/>
        <v>200</v>
      </c>
    </row>
    <row r="5" spans="2:7" x14ac:dyDescent="0.2">
      <c r="B5" s="2" t="s">
        <v>8</v>
      </c>
      <c r="C5" s="1">
        <v>0</v>
      </c>
      <c r="D5" s="5">
        <f>C5*'Valores y Totales'!C5</f>
        <v>0</v>
      </c>
      <c r="E5" s="2">
        <f t="shared" si="0"/>
        <v>0</v>
      </c>
    </row>
    <row r="6" spans="2:7" x14ac:dyDescent="0.2">
      <c r="B6" s="1" t="s">
        <v>9</v>
      </c>
      <c r="C6" s="1">
        <v>0</v>
      </c>
      <c r="D6" s="5">
        <f>C6*'Valores y Totales'!B6</f>
        <v>0</v>
      </c>
      <c r="E6" s="2">
        <f t="shared" si="0"/>
        <v>0</v>
      </c>
    </row>
    <row r="7" spans="2:7" x14ac:dyDescent="0.2">
      <c r="B7" s="2" t="s">
        <v>10</v>
      </c>
      <c r="C7" s="2">
        <v>0</v>
      </c>
      <c r="D7" s="5">
        <f>C7*'Valores y Totales'!C7</f>
        <v>0</v>
      </c>
      <c r="E7" s="2">
        <f t="shared" si="0"/>
        <v>0</v>
      </c>
    </row>
    <row r="8" spans="2:7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7" x14ac:dyDescent="0.2">
      <c r="B9" s="2" t="s">
        <v>12</v>
      </c>
      <c r="C9" s="2">
        <v>0</v>
      </c>
      <c r="D9" s="5">
        <f>C9*'Valores y Totales'!C9</f>
        <v>0</v>
      </c>
      <c r="E9" s="2">
        <f t="shared" si="0"/>
        <v>0</v>
      </c>
    </row>
    <row r="10" spans="2:7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7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7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7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7" x14ac:dyDescent="0.2">
      <c r="B14" s="2" t="s">
        <v>17</v>
      </c>
      <c r="C14" s="2">
        <v>1</v>
      </c>
      <c r="D14" s="5">
        <f>C14*'Valores y Totales'!C14</f>
        <v>500</v>
      </c>
      <c r="E14" s="2">
        <f t="shared" si="0"/>
        <v>1</v>
      </c>
    </row>
    <row r="15" spans="2:7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7" x14ac:dyDescent="0.2">
      <c r="B16" s="2" t="s">
        <v>19</v>
      </c>
      <c r="C16" s="2">
        <v>0</v>
      </c>
      <c r="D16" s="5">
        <f>C16*'Valores y Totales'!C16</f>
        <v>0</v>
      </c>
      <c r="E16" s="2">
        <f t="shared" si="0"/>
        <v>0</v>
      </c>
    </row>
    <row r="17" spans="2:9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9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9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9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  <c r="I20">
        <v>76.2</v>
      </c>
    </row>
    <row r="21" spans="2:9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  <c r="I21">
        <v>20</v>
      </c>
    </row>
    <row r="22" spans="2:9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  <c r="I22" s="6">
        <f>C33/4</f>
        <v>920</v>
      </c>
    </row>
    <row r="23" spans="2:9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9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  <c r="I24">
        <f>SUM(I20:I22)*3</f>
        <v>3048.6000000000004</v>
      </c>
    </row>
    <row r="25" spans="2:9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9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7" spans="2:9" x14ac:dyDescent="0.2">
      <c r="B27" s="2" t="s">
        <v>182</v>
      </c>
      <c r="C27" s="2">
        <v>320</v>
      </c>
      <c r="D27" s="5">
        <f>C27*'Valores y Totales'!C38</f>
        <v>2880</v>
      </c>
      <c r="E27" s="2">
        <f t="shared" ref="E27" si="1">G$1*C27</f>
        <v>320</v>
      </c>
    </row>
    <row r="29" spans="2:9" ht="15.75" thickBot="1" x14ac:dyDescent="0.25">
      <c r="C29" s="9" t="s">
        <v>30</v>
      </c>
      <c r="D29" s="9" t="s">
        <v>31</v>
      </c>
    </row>
    <row r="30" spans="2:9" x14ac:dyDescent="0.2">
      <c r="B30" s="3" t="s">
        <v>48</v>
      </c>
      <c r="C30" s="10">
        <v>1</v>
      </c>
      <c r="D30" s="11">
        <f>C30*G$1</f>
        <v>1</v>
      </c>
      <c r="F30" s="25"/>
    </row>
    <row r="31" spans="2:9" x14ac:dyDescent="0.2">
      <c r="B31" s="3" t="s">
        <v>33</v>
      </c>
      <c r="C31" s="13">
        <f>SUM(D2:D28)</f>
        <v>3680</v>
      </c>
      <c r="D31" s="12">
        <f>C31*G$1</f>
        <v>3680</v>
      </c>
    </row>
    <row r="32" spans="2:9" x14ac:dyDescent="0.2">
      <c r="B32" s="3" t="s">
        <v>34</v>
      </c>
      <c r="C32" s="13"/>
      <c r="D32" s="14"/>
    </row>
    <row r="33" spans="2:4" ht="15.75" thickBot="1" x14ac:dyDescent="0.25">
      <c r="B33" s="3" t="s">
        <v>35</v>
      </c>
      <c r="C33" s="15">
        <f>C31/C30</f>
        <v>3680</v>
      </c>
      <c r="D33" s="16">
        <f>C33</f>
        <v>3680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1:H32"/>
  <sheetViews>
    <sheetView topLeftCell="C10" workbookViewId="0">
      <selection activeCell="C10" sqref="C10"/>
    </sheetView>
  </sheetViews>
  <sheetFormatPr defaultColWidth="11.43359375" defaultRowHeight="15" x14ac:dyDescent="0.2"/>
  <cols>
    <col min="2" max="2" width="20.84765625" bestFit="1" customWidth="1"/>
    <col min="3" max="3" width="12.64453125" customWidth="1"/>
    <col min="4" max="4" width="22.59765625" bestFit="1" customWidth="1"/>
    <col min="5" max="5" width="12.64453125" bestFit="1" customWidth="1"/>
    <col min="6" max="6" width="19.50390625" bestFit="1" customWidth="1"/>
  </cols>
  <sheetData>
    <row r="1" spans="2:8" x14ac:dyDescent="0.2">
      <c r="B1" s="4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17">
        <v>1</v>
      </c>
    </row>
    <row r="2" spans="2:8" x14ac:dyDescent="0.2">
      <c r="B2" s="2" t="s">
        <v>5</v>
      </c>
      <c r="C2" s="1">
        <v>250</v>
      </c>
      <c r="D2" s="5">
        <f>C2*'Valores y Totales'!C2</f>
        <v>2750</v>
      </c>
      <c r="E2" s="2">
        <f>G$1*C2</f>
        <v>250</v>
      </c>
    </row>
    <row r="3" spans="2:8" x14ac:dyDescent="0.2">
      <c r="B3" s="2" t="s">
        <v>6</v>
      </c>
      <c r="C3" s="1">
        <v>250</v>
      </c>
      <c r="D3" s="5">
        <f>C3*'Valores y Totales'!C3</f>
        <v>275</v>
      </c>
      <c r="E3" s="2">
        <f t="shared" ref="E3:E26" si="0">G$1*C3</f>
        <v>250</v>
      </c>
    </row>
    <row r="4" spans="2:8" x14ac:dyDescent="0.2">
      <c r="B4" s="2" t="s">
        <v>7</v>
      </c>
      <c r="C4" s="1">
        <v>0</v>
      </c>
      <c r="D4" s="5">
        <f>C4*'Valores y Totales'!C4</f>
        <v>0</v>
      </c>
      <c r="E4" s="2">
        <f t="shared" si="0"/>
        <v>0</v>
      </c>
    </row>
    <row r="5" spans="2:8" x14ac:dyDescent="0.2">
      <c r="B5" s="2" t="s">
        <v>8</v>
      </c>
      <c r="C5" s="1">
        <v>30</v>
      </c>
      <c r="D5" s="5">
        <f>C5*'Valores y Totales'!C5</f>
        <v>750</v>
      </c>
      <c r="E5" s="2">
        <f t="shared" si="0"/>
        <v>30</v>
      </c>
      <c r="H5" t="s">
        <v>213</v>
      </c>
    </row>
    <row r="6" spans="2:8" x14ac:dyDescent="0.2">
      <c r="B6" s="1" t="s">
        <v>9</v>
      </c>
      <c r="C6" s="1">
        <v>5</v>
      </c>
      <c r="D6" s="5">
        <f>C6*'Valores y Totales'!B6</f>
        <v>1050</v>
      </c>
      <c r="E6" s="2">
        <f t="shared" si="0"/>
        <v>5</v>
      </c>
    </row>
    <row r="7" spans="2:8" x14ac:dyDescent="0.2">
      <c r="B7" s="2" t="s">
        <v>10</v>
      </c>
      <c r="C7" s="2">
        <v>250</v>
      </c>
      <c r="D7" s="5">
        <f>C7*'Valores y Totales'!C7</f>
        <v>350</v>
      </c>
      <c r="E7" s="2">
        <f t="shared" si="0"/>
        <v>250</v>
      </c>
    </row>
    <row r="8" spans="2:8" x14ac:dyDescent="0.2">
      <c r="B8" s="2" t="s">
        <v>11</v>
      </c>
      <c r="C8" s="2">
        <v>0</v>
      </c>
      <c r="D8" s="5">
        <f>C8*'Valores y Totales'!C8</f>
        <v>0</v>
      </c>
      <c r="E8" s="2">
        <f t="shared" si="0"/>
        <v>0</v>
      </c>
    </row>
    <row r="9" spans="2:8" x14ac:dyDescent="0.2">
      <c r="B9" s="2" t="s">
        <v>12</v>
      </c>
      <c r="C9" s="2">
        <v>60</v>
      </c>
      <c r="D9" s="5">
        <f>C9*'Valores y Totales'!C9</f>
        <v>1560</v>
      </c>
      <c r="E9" s="2">
        <f t="shared" si="0"/>
        <v>60</v>
      </c>
    </row>
    <row r="10" spans="2:8" x14ac:dyDescent="0.2">
      <c r="B10" s="2" t="s">
        <v>13</v>
      </c>
      <c r="C10" s="2">
        <v>0</v>
      </c>
      <c r="D10" s="5">
        <f>C10*'Valores y Totales'!C10</f>
        <v>0</v>
      </c>
      <c r="E10" s="2">
        <f t="shared" si="0"/>
        <v>0</v>
      </c>
    </row>
    <row r="11" spans="2:8" x14ac:dyDescent="0.2">
      <c r="B11" s="2" t="s">
        <v>14</v>
      </c>
      <c r="C11" s="2">
        <v>0</v>
      </c>
      <c r="D11" s="5">
        <f>C11*'Valores y Totales'!C11</f>
        <v>0</v>
      </c>
      <c r="E11" s="2">
        <f t="shared" si="0"/>
        <v>0</v>
      </c>
    </row>
    <row r="12" spans="2:8" x14ac:dyDescent="0.2">
      <c r="B12" s="2" t="s">
        <v>15</v>
      </c>
      <c r="C12" s="2">
        <v>0</v>
      </c>
      <c r="D12" s="5">
        <f>C12*'Valores y Totales'!C12</f>
        <v>0</v>
      </c>
      <c r="E12" s="2">
        <f t="shared" si="0"/>
        <v>0</v>
      </c>
    </row>
    <row r="13" spans="2:8" x14ac:dyDescent="0.2">
      <c r="B13" s="2" t="s">
        <v>16</v>
      </c>
      <c r="C13" s="2">
        <v>0</v>
      </c>
      <c r="D13" s="5">
        <f>C13*'Valores y Totales'!C13</f>
        <v>0</v>
      </c>
      <c r="E13" s="2">
        <f t="shared" si="0"/>
        <v>0</v>
      </c>
    </row>
    <row r="14" spans="2:8" x14ac:dyDescent="0.2">
      <c r="B14" s="2" t="s">
        <v>17</v>
      </c>
      <c r="C14" s="2">
        <v>0</v>
      </c>
      <c r="D14" s="5">
        <f>C14*'Valores y Totales'!C14</f>
        <v>0</v>
      </c>
      <c r="E14" s="2">
        <f t="shared" si="0"/>
        <v>0</v>
      </c>
    </row>
    <row r="15" spans="2:8" x14ac:dyDescent="0.2">
      <c r="B15" s="2" t="s">
        <v>18</v>
      </c>
      <c r="C15" s="2">
        <v>0</v>
      </c>
      <c r="D15" s="5">
        <f>C15*'Valores y Totales'!C15</f>
        <v>0</v>
      </c>
      <c r="E15" s="2">
        <f t="shared" si="0"/>
        <v>0</v>
      </c>
    </row>
    <row r="16" spans="2:8" x14ac:dyDescent="0.2">
      <c r="B16" s="2" t="s">
        <v>19</v>
      </c>
      <c r="C16" s="2">
        <v>10</v>
      </c>
      <c r="D16" s="5">
        <f>C16*'Valores y Totales'!C16</f>
        <v>40</v>
      </c>
      <c r="E16" s="2">
        <f t="shared" si="0"/>
        <v>10</v>
      </c>
    </row>
    <row r="17" spans="2:6" x14ac:dyDescent="0.2">
      <c r="B17" s="2" t="s">
        <v>20</v>
      </c>
      <c r="C17" s="2">
        <v>0</v>
      </c>
      <c r="D17" s="5">
        <f>C17*'Valores y Totales'!C17</f>
        <v>0</v>
      </c>
      <c r="E17" s="2">
        <f t="shared" si="0"/>
        <v>0</v>
      </c>
    </row>
    <row r="18" spans="2:6" x14ac:dyDescent="0.2">
      <c r="B18" s="2" t="s">
        <v>21</v>
      </c>
      <c r="C18" s="2">
        <v>0</v>
      </c>
      <c r="D18" s="5">
        <f>C18*'Valores y Totales'!C18</f>
        <v>0</v>
      </c>
      <c r="E18" s="2">
        <f t="shared" si="0"/>
        <v>0</v>
      </c>
    </row>
    <row r="19" spans="2:6" x14ac:dyDescent="0.2">
      <c r="B19" s="2" t="s">
        <v>22</v>
      </c>
      <c r="C19" s="2">
        <v>0</v>
      </c>
      <c r="D19" s="5">
        <f>C19*'Valores y Totales'!C19</f>
        <v>0</v>
      </c>
      <c r="E19" s="2">
        <f t="shared" si="0"/>
        <v>0</v>
      </c>
    </row>
    <row r="20" spans="2:6" x14ac:dyDescent="0.2">
      <c r="B20" s="2" t="s">
        <v>23</v>
      </c>
      <c r="C20" s="2">
        <v>0</v>
      </c>
      <c r="D20" s="5">
        <f>C20*'Valores y Totales'!C20</f>
        <v>0</v>
      </c>
      <c r="E20" s="2">
        <f t="shared" si="0"/>
        <v>0</v>
      </c>
    </row>
    <row r="21" spans="2:6" x14ac:dyDescent="0.2">
      <c r="B21" s="2" t="s">
        <v>41</v>
      </c>
      <c r="C21" s="2">
        <v>0</v>
      </c>
      <c r="D21" s="5">
        <f>C21*'Valores y Totales'!C21</f>
        <v>0</v>
      </c>
      <c r="E21" s="2">
        <f t="shared" si="0"/>
        <v>0</v>
      </c>
    </row>
    <row r="22" spans="2:6" x14ac:dyDescent="0.2">
      <c r="B22" s="2" t="s">
        <v>25</v>
      </c>
      <c r="C22" s="2">
        <v>0</v>
      </c>
      <c r="D22" s="5">
        <f>C22*'Valores y Totales'!C22</f>
        <v>0</v>
      </c>
      <c r="E22" s="2">
        <f t="shared" si="0"/>
        <v>0</v>
      </c>
    </row>
    <row r="23" spans="2:6" x14ac:dyDescent="0.2">
      <c r="B23" s="2" t="s">
        <v>26</v>
      </c>
      <c r="C23" s="2">
        <v>0</v>
      </c>
      <c r="D23" s="5">
        <f>C23*'Valores y Totales'!C23</f>
        <v>0</v>
      </c>
      <c r="E23" s="2">
        <f t="shared" si="0"/>
        <v>0</v>
      </c>
    </row>
    <row r="24" spans="2:6" x14ac:dyDescent="0.2">
      <c r="B24" s="2" t="s">
        <v>27</v>
      </c>
      <c r="C24" s="2">
        <v>0</v>
      </c>
      <c r="D24" s="5">
        <f>C24*'Valores y Totales'!C24</f>
        <v>0</v>
      </c>
      <c r="E24" s="2">
        <f t="shared" si="0"/>
        <v>0</v>
      </c>
    </row>
    <row r="25" spans="2:6" x14ac:dyDescent="0.2">
      <c r="B25" s="2" t="s">
        <v>28</v>
      </c>
      <c r="C25" s="2">
        <v>0</v>
      </c>
      <c r="D25" s="5">
        <f>C25*'Valores y Totales'!C25</f>
        <v>0</v>
      </c>
      <c r="E25" s="2">
        <f t="shared" si="0"/>
        <v>0</v>
      </c>
    </row>
    <row r="26" spans="2:6" x14ac:dyDescent="0.2">
      <c r="B26" s="2" t="s">
        <v>29</v>
      </c>
      <c r="C26" s="2">
        <v>0</v>
      </c>
      <c r="D26" s="5">
        <f>C26*'Valores y Totales'!C26</f>
        <v>0</v>
      </c>
      <c r="E26" s="2">
        <f t="shared" si="0"/>
        <v>0</v>
      </c>
    </row>
    <row r="28" spans="2:6" ht="15.75" thickBot="1" x14ac:dyDescent="0.25">
      <c r="C28" s="9" t="s">
        <v>30</v>
      </c>
      <c r="D28" s="9" t="s">
        <v>31</v>
      </c>
    </row>
    <row r="29" spans="2:6" x14ac:dyDescent="0.2">
      <c r="B29" s="3" t="s">
        <v>48</v>
      </c>
      <c r="C29" s="10">
        <v>1</v>
      </c>
      <c r="D29" s="11">
        <f>C29*G$1</f>
        <v>1</v>
      </c>
      <c r="F29" s="25"/>
    </row>
    <row r="30" spans="2:6" x14ac:dyDescent="0.2">
      <c r="B30" s="3" t="s">
        <v>33</v>
      </c>
      <c r="C30" s="13">
        <f>SUM(D2:D20)</f>
        <v>6775</v>
      </c>
      <c r="D30" s="12">
        <f>C30*G$1</f>
        <v>6775</v>
      </c>
    </row>
    <row r="31" spans="2:6" x14ac:dyDescent="0.2">
      <c r="B31" s="3"/>
      <c r="C31" s="13"/>
      <c r="D31" s="14"/>
    </row>
    <row r="32" spans="2:6" ht="15.75" thickBot="1" x14ac:dyDescent="0.25">
      <c r="B32" s="3" t="s">
        <v>35</v>
      </c>
      <c r="C32" s="15">
        <f>C30/C29</f>
        <v>6775</v>
      </c>
      <c r="D32" s="16">
        <f>C32</f>
        <v>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87</vt:i4>
      </vt:variant>
    </vt:vector>
  </HeadingPairs>
  <TitlesOfParts>
    <vt:vector size="87" baseType="lpstr">
      <vt:lpstr>Brownie 14 cm</vt:lpstr>
      <vt:lpstr>Tarta de Coco placa 20x30</vt:lpstr>
      <vt:lpstr>Minifrola-DDL-Coco</vt:lpstr>
      <vt:lpstr>Minifrola-Manzana</vt:lpstr>
      <vt:lpstr>Minifrola-DDL</vt:lpstr>
      <vt:lpstr>Pastafrola Membrillo</vt:lpstr>
      <vt:lpstr>Minifrola-Membrillo</vt:lpstr>
      <vt:lpstr>Pepas</vt:lpstr>
      <vt:lpstr>Crema Bariloche</vt:lpstr>
      <vt:lpstr>Receta Torta Espumita</vt:lpstr>
      <vt:lpstr>Cupcakes Chocolate</vt:lpstr>
      <vt:lpstr>Ganache Isabel Vermal</vt:lpstr>
      <vt:lpstr>Torta Choc Isabel Vermal</vt:lpstr>
      <vt:lpstr>Biscuit Chocolate</vt:lpstr>
      <vt:lpstr>Butter Cream Chocolate</vt:lpstr>
      <vt:lpstr>Brownie Eri</vt:lpstr>
      <vt:lpstr>Alfajores de Chocolate 4 cm NUT</vt:lpstr>
      <vt:lpstr>Alfajores de Nuez 4 cm</vt:lpstr>
      <vt:lpstr>Alfajores de Chocolate 4 cm</vt:lpstr>
      <vt:lpstr>Alfajores de Maicena 4 cm</vt:lpstr>
      <vt:lpstr>Alfajores de Maicena 7 cm</vt:lpstr>
      <vt:lpstr>Alfajores de Chocolate 7 cm</vt:lpstr>
      <vt:lpstr>Masitas Mantecosas de Choco</vt:lpstr>
      <vt:lpstr>Galletas Naranja Manga</vt:lpstr>
      <vt:lpstr>Cookies Ginger Snaps</vt:lpstr>
      <vt:lpstr>Browkies - Cookies doble choco</vt:lpstr>
      <vt:lpstr>Cookies Chip Taller</vt:lpstr>
      <vt:lpstr>Cookies Vainilla con Chips</vt:lpstr>
      <vt:lpstr>Budin de Vainilla</vt:lpstr>
      <vt:lpstr>Budin de Naranja</vt:lpstr>
      <vt:lpstr>Cookies Choco Naranja</vt:lpstr>
      <vt:lpstr>Lista de Precios Clientes</vt:lpstr>
      <vt:lpstr>Frecuentes</vt:lpstr>
      <vt:lpstr>Torta Number</vt:lpstr>
      <vt:lpstr>Torta Butter Cream 15 cm</vt:lpstr>
      <vt:lpstr>Torta Butter Cream 18</vt:lpstr>
      <vt:lpstr>Butter Cream Odra</vt:lpstr>
      <vt:lpstr>Butter Cream Vainilla</vt:lpstr>
      <vt:lpstr>Genoise</vt:lpstr>
      <vt:lpstr>Bundt Chocolate</vt:lpstr>
      <vt:lpstr>Torta Forrada</vt:lpstr>
      <vt:lpstr>Torta Manteca Butter Cream</vt:lpstr>
      <vt:lpstr>Donas de Vainilla</vt:lpstr>
      <vt:lpstr>Donas de Chocolate</vt:lpstr>
      <vt:lpstr>Bundt Naranja</vt:lpstr>
      <vt:lpstr>Budin Cítrico</vt:lpstr>
      <vt:lpstr>Merengue Italiano</vt:lpstr>
      <vt:lpstr>Pastafrola Dulce de Leche</vt:lpstr>
      <vt:lpstr>Cookies Vaini-Chips Rocklets</vt:lpstr>
      <vt:lpstr>Budin de Manzanas</vt:lpstr>
      <vt:lpstr>Precios</vt:lpstr>
      <vt:lpstr>Bombon Nuez con Chocolate</vt:lpstr>
      <vt:lpstr>Cascaritas</vt:lpstr>
      <vt:lpstr>Panes</vt:lpstr>
      <vt:lpstr>Valores y Totales</vt:lpstr>
      <vt:lpstr>Vaso Geng y Limon</vt:lpstr>
      <vt:lpstr>Cremoso de Fruta</vt:lpstr>
      <vt:lpstr>Duo Chocolate</vt:lpstr>
      <vt:lpstr>Budin de Peras</vt:lpstr>
      <vt:lpstr>Budin de Banana</vt:lpstr>
      <vt:lpstr>Ganache</vt:lpstr>
      <vt:lpstr>Cakepops</vt:lpstr>
      <vt:lpstr>Bombones de Chocolate</vt:lpstr>
      <vt:lpstr>TartitasChocolate</vt:lpstr>
      <vt:lpstr>Espumita de Limon</vt:lpstr>
      <vt:lpstr>Budin de Arandanos</vt:lpstr>
      <vt:lpstr>Torta Galesa</vt:lpstr>
      <vt:lpstr>MiniRogel</vt:lpstr>
      <vt:lpstr>Alfajores de Chocolate</vt:lpstr>
      <vt:lpstr>Alfajores de Maicena</vt:lpstr>
      <vt:lpstr>Masitas de Manteca (choc)</vt:lpstr>
      <vt:lpstr>Alfajores de Mani</vt:lpstr>
      <vt:lpstr>Alfajores de Nuez</vt:lpstr>
      <vt:lpstr>Torta Vainilla</vt:lpstr>
      <vt:lpstr>Torta Chocolate Mauricio Asta</vt:lpstr>
      <vt:lpstr>Torta Chocolate</vt:lpstr>
      <vt:lpstr>Cupcakes Limón</vt:lpstr>
      <vt:lpstr>TORTA 3KG 20CM NO GANACHE</vt:lpstr>
      <vt:lpstr>TORTA 3KG 20CM DIAM.</vt:lpstr>
      <vt:lpstr>Frosting Bariloche</vt:lpstr>
      <vt:lpstr>Cookies Pasas y Nueces</vt:lpstr>
      <vt:lpstr>Masitas de Manteca</vt:lpstr>
      <vt:lpstr>Caja dia del padre</vt:lpstr>
      <vt:lpstr>Cookies Chocochips</vt:lpstr>
      <vt:lpstr>Brownies</vt:lpstr>
      <vt:lpstr>Crema de Naranja</vt:lpstr>
      <vt:lpstr>Torta Manteca ODRA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Lostris</dc:creator>
  <cp:keywords/>
  <dc:description/>
  <cp:lastModifiedBy>Andrea Giorgetti</cp:lastModifiedBy>
  <cp:revision/>
  <dcterms:created xsi:type="dcterms:W3CDTF">2020-05-06T23:13:48Z</dcterms:created>
  <dcterms:modified xsi:type="dcterms:W3CDTF">2026-06-30T21:47:45Z</dcterms:modified>
  <cp:category/>
  <cp:contentStatus/>
</cp:coreProperties>
</file>